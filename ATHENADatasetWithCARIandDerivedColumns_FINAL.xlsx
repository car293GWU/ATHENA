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626ff300c7032e/Documents/GWU/Praxis/Data/PraxisDatasetFinal/DataEngineering/"/>
    </mc:Choice>
  </mc:AlternateContent>
  <xr:revisionPtr revIDLastSave="9" documentId="8_{4F58B563-C401-480E-BBCA-38F26B6C0878}" xr6:coauthVersionLast="47" xr6:coauthVersionMax="47" xr10:uidLastSave="{2D9DDDA0-CE31-4883-AC98-23735F18EB56}"/>
  <bookViews>
    <workbookView xWindow="1320" yWindow="795" windowWidth="27270" windowHeight="14685" xr2:uid="{838CA063-052F-4EC6-A383-AD31AB514DCC}"/>
  </bookViews>
  <sheets>
    <sheet name="actor_master_dataset_CARI" sheetId="1" r:id="rId1"/>
    <sheet name="Actor Type Code" sheetId="2" r:id="rId2"/>
    <sheet name="Country Affiliation Code" sheetId="3" r:id="rId3"/>
    <sheet name="Targeted Sector Code" sheetId="4" r:id="rId4"/>
    <sheet name="KEV Status" sheetId="5" r:id="rId5"/>
    <sheet name="Risk Group" sheetId="7" r:id="rId6"/>
  </sheets>
  <definedNames>
    <definedName name="_xlnm._FilterDatabase" localSheetId="0" hidden="1">actor_master_dataset_CARI!$A$1:$AD$175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7" l="1"/>
  <c r="G6" i="7"/>
  <c r="C4" i="7"/>
  <c r="C5" i="5"/>
  <c r="D23" i="4"/>
  <c r="C23" i="4"/>
  <c r="H9" i="4"/>
  <c r="A2" i="4" a="1"/>
  <c r="C19" i="3"/>
  <c r="C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<sst xmlns="http://schemas.openxmlformats.org/spreadsheetml/2006/main" count="1022" uniqueCount="632">
  <si>
    <t>group_id</t>
  </si>
  <si>
    <t>actor_type</t>
  </si>
  <si>
    <t>country_attribution</t>
  </si>
  <si>
    <t>targeted_sectors</t>
  </si>
  <si>
    <t>technique_count</t>
  </si>
  <si>
    <t>tactic_count</t>
  </si>
  <si>
    <t>technique_diversity_score</t>
  </si>
  <si>
    <t>associated_cve_count</t>
  </si>
  <si>
    <t>avg_cvss_score</t>
  </si>
  <si>
    <t>max_cvss_score</t>
  </si>
  <si>
    <t>kev_count</t>
  </si>
  <si>
    <t>critical_vuln_ratio</t>
  </si>
  <si>
    <t>kev_ratio</t>
  </si>
  <si>
    <t>acled_event_count</t>
  </si>
  <si>
    <t>acled_political_violence_events_total</t>
  </si>
  <si>
    <t>acled_months_observed</t>
  </si>
  <si>
    <t>acled_avg_monthly_political_violence_events</t>
  </si>
  <si>
    <t>acled_max_monthly_political_violence_events</t>
  </si>
  <si>
    <t>geo_instability_score</t>
  </si>
  <si>
    <t>conflict_intensity_index</t>
  </si>
  <si>
    <t>capability_score</t>
  </si>
  <si>
    <t>opportunity_score</t>
  </si>
  <si>
    <t>activity_score</t>
  </si>
  <si>
    <t>composite_risk_score</t>
  </si>
  <si>
    <t>has_country_attribution</t>
  </si>
  <si>
    <t>has_targeted_sector</t>
  </si>
  <si>
    <t>has_cve_mapping</t>
  </si>
  <si>
    <t>risk_group</t>
  </si>
  <si>
    <t>gov_defense_target</t>
  </si>
  <si>
    <t>G0001</t>
  </si>
  <si>
    <t>Unknown</t>
  </si>
  <si>
    <t>China</t>
  </si>
  <si>
    <t>Critical Manufacturing; Defense Industrial Base; Government Facilities; Media; Transportation Systems</t>
  </si>
  <si>
    <t>G0002</t>
  </si>
  <si>
    <t>unknown</t>
  </si>
  <si>
    <t>G0003</t>
  </si>
  <si>
    <t>State</t>
  </si>
  <si>
    <t>Iran</t>
  </si>
  <si>
    <t>G0004</t>
  </si>
  <si>
    <t>Defense Industrial Base; Energy; Government Facilities; NGO</t>
  </si>
  <si>
    <t>G0005</t>
  </si>
  <si>
    <t>Government Facilities; Media</t>
  </si>
  <si>
    <t>G0006</t>
  </si>
  <si>
    <t>Defense Industrial Base</t>
  </si>
  <si>
    <t>G0007</t>
  </si>
  <si>
    <t>Russia</t>
  </si>
  <si>
    <t>Chemical; Defense Industrial Base; Nuclear Reactors, Materials, and Waste; Transportation Systems</t>
  </si>
  <si>
    <t>G0008</t>
  </si>
  <si>
    <t>Nonstate CyberCrime</t>
  </si>
  <si>
    <t>Financial Services; Information Technology</t>
  </si>
  <si>
    <t>G0009</t>
  </si>
  <si>
    <t>Communications; Defense Industrial Base; Financial Services; Government Facilities; Healthcare and Public Health</t>
  </si>
  <si>
    <t>G0010</t>
  </si>
  <si>
    <t>Defense Industrial Base; Education; Government Facilities; Healthcare and Public Health; Information Technology; Water and Wastewater Systems</t>
  </si>
  <si>
    <t>G0011</t>
  </si>
  <si>
    <t>G0012</t>
  </si>
  <si>
    <t>South Korea</t>
  </si>
  <si>
    <t>Commercial Facilities; Defense Industrial Base</t>
  </si>
  <si>
    <t>G0013</t>
  </si>
  <si>
    <t>Government Facilities</t>
  </si>
  <si>
    <t>G0016</t>
  </si>
  <si>
    <t>Russia; United Kingdom</t>
  </si>
  <si>
    <t>Government Facilities; NGO; Transportation Systems</t>
  </si>
  <si>
    <t>G0017</t>
  </si>
  <si>
    <t>G0018</t>
  </si>
  <si>
    <t>Financial Services; Information Technology; Media</t>
  </si>
  <si>
    <t>G0019</t>
  </si>
  <si>
    <t>Defense Industrial Base; Government Facilities</t>
  </si>
  <si>
    <t>G0020</t>
  </si>
  <si>
    <t>G0021</t>
  </si>
  <si>
    <t>United States</t>
  </si>
  <si>
    <t>G0022</t>
  </si>
  <si>
    <t>China; Hong Kong</t>
  </si>
  <si>
    <t>G0023</t>
  </si>
  <si>
    <t>G0024</t>
  </si>
  <si>
    <t>G0025</t>
  </si>
  <si>
    <t>Defense Industrial Base; Government Facilities; Information Technology</t>
  </si>
  <si>
    <t>G0026</t>
  </si>
  <si>
    <t>Critical Manufacturing; Government Facilities; Healthcare and Public Health; Information Technology; NGO</t>
  </si>
  <si>
    <t>G0027</t>
  </si>
  <si>
    <t>Critical Manufacturing; Defense Industrial Base; Energy; Government Facilities; Information Technology</t>
  </si>
  <si>
    <t>G0028</t>
  </si>
  <si>
    <t>G0029</t>
  </si>
  <si>
    <t>Nonstate Hactivist</t>
  </si>
  <si>
    <t>Government Facilities; NGO</t>
  </si>
  <si>
    <t>G0030</t>
  </si>
  <si>
    <t>G0032</t>
  </si>
  <si>
    <t>North Korea</t>
  </si>
  <si>
    <t>Financial Services; Transportation Systems</t>
  </si>
  <si>
    <t>G0033</t>
  </si>
  <si>
    <t>Transportation Systems</t>
  </si>
  <si>
    <t>G0034</t>
  </si>
  <si>
    <t>Georgia; Russia; United Kingdom</t>
  </si>
  <si>
    <t>Chemical; Defense Industrial Base; Energy; Government Facilities; Information Technology</t>
  </si>
  <si>
    <t>G0035</t>
  </si>
  <si>
    <t>Critical Manufacturing; Defense Industrial Base; Emergency Services; Government Facilities; Transportation Systems</t>
  </si>
  <si>
    <t>G0036</t>
  </si>
  <si>
    <t>Financial Services</t>
  </si>
  <si>
    <t>G0037</t>
  </si>
  <si>
    <t>Commercial Facilities; Emergency Services; Financial Services; Healthcare and Public Health</t>
  </si>
  <si>
    <t>G0038</t>
  </si>
  <si>
    <t>United Arab Emirates</t>
  </si>
  <si>
    <t>Government Facilities; Media; NGO</t>
  </si>
  <si>
    <t>G0039</t>
  </si>
  <si>
    <t>G0040</t>
  </si>
  <si>
    <t>India</t>
  </si>
  <si>
    <t>G0041</t>
  </si>
  <si>
    <t>Belgium; China; Iran; Russia; Rwanda; Sweden</t>
  </si>
  <si>
    <t>G0043</t>
  </si>
  <si>
    <t>Information Technology; Water and Wastewater Systems</t>
  </si>
  <si>
    <t>G0044</t>
  </si>
  <si>
    <t>G0045</t>
  </si>
  <si>
    <t>Critical Manufacturing; Defense Industrial Base; Education; Energy; Financial Services; Government Facilities; Healthcare and Public Health; Information Technology; Transportation Systems</t>
  </si>
  <si>
    <t>G0046</t>
  </si>
  <si>
    <t>Commercial Facilities; Energy; Financial Services; Food and Agriculture; Healthcare and Public Health; Information Technology; Media; Transportation Systems</t>
  </si>
  <si>
    <t>G0047</t>
  </si>
  <si>
    <t>Russia; Ukraine</t>
  </si>
  <si>
    <t>Defense Industrial Base; Government Facilities; NGO; Transportation Systems</t>
  </si>
  <si>
    <t>G0048</t>
  </si>
  <si>
    <t>Emergency Services; Financial Services; Information Technology</t>
  </si>
  <si>
    <t>G0049</t>
  </si>
  <si>
    <t>Chemical; Communications; Energy; Financial Services; Government Facilities</t>
  </si>
  <si>
    <t>G0050</t>
  </si>
  <si>
    <t>Cambodia; Laos; Philippines; Vietnam</t>
  </si>
  <si>
    <t>G0051</t>
  </si>
  <si>
    <t>G0052</t>
  </si>
  <si>
    <t>Germany; Iran; Israel; Jordan; Saudi Arabia</t>
  </si>
  <si>
    <t>G0053</t>
  </si>
  <si>
    <t>Commercial Facilities; Financial Services</t>
  </si>
  <si>
    <t>G0054</t>
  </si>
  <si>
    <t>G0055</t>
  </si>
  <si>
    <t>Turkey</t>
  </si>
  <si>
    <t>G0056</t>
  </si>
  <si>
    <t>G0059</t>
  </si>
  <si>
    <t>Defense Industrial Base; Education; Government Facilities; Media</t>
  </si>
  <si>
    <t>G0060</t>
  </si>
  <si>
    <t>Critical Manufacturing; Government Facilities; Healthcare and Public Health; Information Technology</t>
  </si>
  <si>
    <t>G0061</t>
  </si>
  <si>
    <t>Chemical; Commercial Facilities; Financial Services; Healthcare and Public Health; Information Technology</t>
  </si>
  <si>
    <t>G0062</t>
  </si>
  <si>
    <t>Belarus; China; Mongolia; Russia</t>
  </si>
  <si>
    <t>NGO</t>
  </si>
  <si>
    <t>G0063</t>
  </si>
  <si>
    <t>Media; NGO; Transportation Systems</t>
  </si>
  <si>
    <t>G0064</t>
  </si>
  <si>
    <t>Iran; Saudi Arabia; South Korea; United States</t>
  </si>
  <si>
    <t>Energy; Transportation Systems</t>
  </si>
  <si>
    <t>G0065</t>
  </si>
  <si>
    <t>Australia; Canada; China</t>
  </si>
  <si>
    <t>Critical Manufacturing; Defense Industrial Base; Government Facilities; Healthcare and Public Health; Transportation Systems</t>
  </si>
  <si>
    <t>G0066</t>
  </si>
  <si>
    <t>G0067</t>
  </si>
  <si>
    <t>China; India; Japan; Kuwait; Nepal; North Korea; Romania; Russia; South Korea; Vietnam</t>
  </si>
  <si>
    <t>NGO; Transportation Systems</t>
  </si>
  <si>
    <t>G0068</t>
  </si>
  <si>
    <t>G0069</t>
  </si>
  <si>
    <t>Iran; Saudi Arabia</t>
  </si>
  <si>
    <t>Communications; Defense Industrial Base; Energy; Financial Services; Government Facilities; Water and Wastewater Systems</t>
  </si>
  <si>
    <t>G0070</t>
  </si>
  <si>
    <t>G0071</t>
  </si>
  <si>
    <t>Healthcare and Public Health; Information Technology</t>
  </si>
  <si>
    <t>G0073</t>
  </si>
  <si>
    <t>Communications; Critical Manufacturing; Defense Industrial Base; Education; Energy; Financial Services; Healthcare and Public Health</t>
  </si>
  <si>
    <t>G0075</t>
  </si>
  <si>
    <t>G0076</t>
  </si>
  <si>
    <t>Communications; Defense Industrial Base</t>
  </si>
  <si>
    <t>G0077</t>
  </si>
  <si>
    <t>G0078</t>
  </si>
  <si>
    <t>Pakistan; Russia; Spain; United Kingdom; United States</t>
  </si>
  <si>
    <t>G0079</t>
  </si>
  <si>
    <t>Education; Government Facilities</t>
  </si>
  <si>
    <t>G0080</t>
  </si>
  <si>
    <t>Spain</t>
  </si>
  <si>
    <t>Emergency Services; Financial Services; Information Technology; Transportation Systems</t>
  </si>
  <si>
    <t>G0081</t>
  </si>
  <si>
    <t>Hong Kong; Philippines; Taiwan</t>
  </si>
  <si>
    <t>Government Facilities; Healthcare and Public Health; Transportation Systems</t>
  </si>
  <si>
    <t>G0082</t>
  </si>
  <si>
    <t>Bangladesh; Chile; North Korea</t>
  </si>
  <si>
    <t>Commercial Facilities; Financial Services; Transportation Systems</t>
  </si>
  <si>
    <t>G0083</t>
  </si>
  <si>
    <t>Critical Manufacturing; Education; Information Technology</t>
  </si>
  <si>
    <t>G0084</t>
  </si>
  <si>
    <t>G0085</t>
  </si>
  <si>
    <t>Financial Services; Healthcare and Public Health</t>
  </si>
  <si>
    <t>G0087</t>
  </si>
  <si>
    <t>Communications; Education; Government Facilities; Healthcare and Public Health</t>
  </si>
  <si>
    <t>G0088</t>
  </si>
  <si>
    <t>Critical Manufacturing; Emergency Services; Information Technology</t>
  </si>
  <si>
    <t>G0089</t>
  </si>
  <si>
    <t>Pakistan</t>
  </si>
  <si>
    <t>G0090</t>
  </si>
  <si>
    <t>Israel; Palestine</t>
  </si>
  <si>
    <t>Defense Industrial Base; Financial Services; Government Facilities; Information Technology; NGO</t>
  </si>
  <si>
    <t>G0091</t>
  </si>
  <si>
    <t>Azerbaijan; Belarus; Kazakhstan; Poland; Russia; Ukraine</t>
  </si>
  <si>
    <t>Emergency Services; Financial Services</t>
  </si>
  <si>
    <t>G0092</t>
  </si>
  <si>
    <t>Information Technology</t>
  </si>
  <si>
    <t>G0093</t>
  </si>
  <si>
    <t>Afghanistan; Australia; Belgium; Cambodia; China; Malaysia; Mozambique; Philippines; Russia; Vietnam</t>
  </si>
  <si>
    <t>Communications; Financial Services; Government Facilities</t>
  </si>
  <si>
    <t>G0094</t>
  </si>
  <si>
    <t>Japan; North Korea; Russia; South Korea; United States</t>
  </si>
  <si>
    <t>Critical Manufacturing; Education; Energy; Government Facilities; NGO; Transportation Systems</t>
  </si>
  <si>
    <t>G0095</t>
  </si>
  <si>
    <t>Russia; Venezuela</t>
  </si>
  <si>
    <t>Communications; Defense Industrial Base; Energy; Government Facilities</t>
  </si>
  <si>
    <t>G0096</t>
  </si>
  <si>
    <t>Commercial Facilities; Communications; Education; Financial Services; Healthcare and Public Health; Information Technology; Transportation Systems</t>
  </si>
  <si>
    <t>G0098</t>
  </si>
  <si>
    <t>China; Hong Kong; Japan; Taiwan</t>
  </si>
  <si>
    <t>Critical Manufacturing; Financial Services; Media</t>
  </si>
  <si>
    <t>G0099</t>
  </si>
  <si>
    <t>Colombia; United States</t>
  </si>
  <si>
    <t>Critical Manufacturing; Energy; Financial Services; Government Facilities</t>
  </si>
  <si>
    <t>G0100</t>
  </si>
  <si>
    <t>Russia; United States</t>
  </si>
  <si>
    <t>Government Facilities; Information Technology</t>
  </si>
  <si>
    <t>G0102</t>
  </si>
  <si>
    <t>Financial Services; Healthcare and Public Health; Information Technology</t>
  </si>
  <si>
    <t>G0103</t>
  </si>
  <si>
    <t>China; Myanmar</t>
  </si>
  <si>
    <t>G0105</t>
  </si>
  <si>
    <t>G0106</t>
  </si>
  <si>
    <t>G0107</t>
  </si>
  <si>
    <t>Singapore</t>
  </si>
  <si>
    <t>Healthcare and Public Health</t>
  </si>
  <si>
    <t>G0108</t>
  </si>
  <si>
    <t>G0112</t>
  </si>
  <si>
    <t>G0114</t>
  </si>
  <si>
    <t>China; Taiwan</t>
  </si>
  <si>
    <t>Critical Manufacturing; Transportation Systems</t>
  </si>
  <si>
    <t>G0115</t>
  </si>
  <si>
    <t>G0117</t>
  </si>
  <si>
    <t>Australia; Iran</t>
  </si>
  <si>
    <t>Critical Manufacturing; Defense Industrial Base; Energy; Government Facilities; Healthcare and Public Health; Information Technology</t>
  </si>
  <si>
    <t>G0119</t>
  </si>
  <si>
    <t>G0120</t>
  </si>
  <si>
    <t>G0121</t>
  </si>
  <si>
    <t>Afghanistan; China; India; Nepal; Pakistan</t>
  </si>
  <si>
    <t>G0122</t>
  </si>
  <si>
    <t>G0123</t>
  </si>
  <si>
    <t>G0124</t>
  </si>
  <si>
    <t>G0125</t>
  </si>
  <si>
    <t>Defense Industrial Base; Education; Information Technology; NGO</t>
  </si>
  <si>
    <t>G0126</t>
  </si>
  <si>
    <t>China; Japan; North Korea; Poland; Russia; South Korea</t>
  </si>
  <si>
    <t>G0127</t>
  </si>
  <si>
    <t>G0128</t>
  </si>
  <si>
    <t>G0129</t>
  </si>
  <si>
    <t>China; Mongolia; Myanmar; Pakistan; Russia; United States; Vietnam</t>
  </si>
  <si>
    <t>G0130</t>
  </si>
  <si>
    <t>Critical Manufacturing; Defense Industrial Base</t>
  </si>
  <si>
    <t>G0131</t>
  </si>
  <si>
    <t>China; Japan; South Korea; Taiwan; United States</t>
  </si>
  <si>
    <t>Defense Industrial Base; Education; Energy; Financial Services; Government Facilities; Healthcare and Public Health; Information Technology</t>
  </si>
  <si>
    <t>G0133</t>
  </si>
  <si>
    <t>G0134</t>
  </si>
  <si>
    <t>Afghanistan; India; Pakistan</t>
  </si>
  <si>
    <t>G0135</t>
  </si>
  <si>
    <t>Communications</t>
  </si>
  <si>
    <t>G0136</t>
  </si>
  <si>
    <t>G0137</t>
  </si>
  <si>
    <t>G0138</t>
  </si>
  <si>
    <t>North Korea; South Korea</t>
  </si>
  <si>
    <t>Defense Industrial Base; Financial Services; Government Facilities; Transportation Systems</t>
  </si>
  <si>
    <t>G0139</t>
  </si>
  <si>
    <t>G0140</t>
  </si>
  <si>
    <t>G0142</t>
  </si>
  <si>
    <t>G0143</t>
  </si>
  <si>
    <t>Communications; Critical Manufacturing; Government Facilities; Information Technology</t>
  </si>
  <si>
    <t>G1001</t>
  </si>
  <si>
    <t>Israel; Kuwait; Morocco; Saudi Arabia; Tunisia</t>
  </si>
  <si>
    <t>Communications; Energy; Transportation Systems</t>
  </si>
  <si>
    <t>G1002</t>
  </si>
  <si>
    <t>Bangladesh; China; Pakistan; Saudi Arabia</t>
  </si>
  <si>
    <t>Energy; Government Facilities</t>
  </si>
  <si>
    <t>G1003</t>
  </si>
  <si>
    <t>Communications; Government Facilities; Information Technology</t>
  </si>
  <si>
    <t>G1004</t>
  </si>
  <si>
    <t>Communications; Critical Manufacturing; Education; Energy; Government Facilities; Healthcare and Public Health; Information Technology; Media</t>
  </si>
  <si>
    <t>G1005</t>
  </si>
  <si>
    <t>Iran; Israel; Lebanon</t>
  </si>
  <si>
    <t>Critical Manufacturing; Defense Industrial Base; Government Facilities; Information Technology</t>
  </si>
  <si>
    <t>G1006</t>
  </si>
  <si>
    <t>Australia; China; France; Germany; Hong Kong; Mongolia; Nepal; Nigeria; Philippines; Taiwan; Thailand; United Arab Emirates; United States; Vietnam</t>
  </si>
  <si>
    <t>Communications; Education; Financial Services; Government Facilities; Media; NGO</t>
  </si>
  <si>
    <t>G1007</t>
  </si>
  <si>
    <t>Australia; Cambodia; China; Hong Kong; Singapore; Vietnam</t>
  </si>
  <si>
    <t>Communications; Education; Government Facilities</t>
  </si>
  <si>
    <t>G1008</t>
  </si>
  <si>
    <t>India; Pakistan</t>
  </si>
  <si>
    <t>G1009</t>
  </si>
  <si>
    <t>Chile; Germany; India; Iran; Israel; Italy</t>
  </si>
  <si>
    <t>Critical Manufacturing; Dams; Energy; Financial Services; Government Facilities; Water and Wastewater Systems</t>
  </si>
  <si>
    <t>G1011</t>
  </si>
  <si>
    <t>G1012</t>
  </si>
  <si>
    <t>Media; Transportation Systems</t>
  </si>
  <si>
    <t>G1013</t>
  </si>
  <si>
    <t>Communications; Transportation Systems</t>
  </si>
  <si>
    <t>G1014</t>
  </si>
  <si>
    <t>China; Myanmar; Philippines; Thailand</t>
  </si>
  <si>
    <t>G1015</t>
  </si>
  <si>
    <t>Commercial Facilities; Communications; Critical Manufacturing; Defense Industrial Base; Financial Services; Healthcare and Public Health; Information Technology</t>
  </si>
  <si>
    <t>G1016</t>
  </si>
  <si>
    <t>Mexico</t>
  </si>
  <si>
    <t>Commercial Facilities; Financial Services; Healthcare and Public Health</t>
  </si>
  <si>
    <t>G1017</t>
  </si>
  <si>
    <t>China; Guam</t>
  </si>
  <si>
    <t>Information Technology; Transportation Systems</t>
  </si>
  <si>
    <t>G1018</t>
  </si>
  <si>
    <t>Critical Manufacturing; Defense Industrial Base; Transportation Systems</t>
  </si>
  <si>
    <t>G1019</t>
  </si>
  <si>
    <t>Belarus</t>
  </si>
  <si>
    <t>G1020</t>
  </si>
  <si>
    <t>G1021</t>
  </si>
  <si>
    <t>Financial Services; Government Facilities; Information Technology</t>
  </si>
  <si>
    <t>G1022</t>
  </si>
  <si>
    <t>G1023</t>
  </si>
  <si>
    <t>Communications; Defense Industrial Base; Information Technology</t>
  </si>
  <si>
    <t>G1024</t>
  </si>
  <si>
    <t>G1026</t>
  </si>
  <si>
    <t>Brazil; Mexico; Portugal; Spain</t>
  </si>
  <si>
    <t>Communications; Financial Services; Information Technology; Transportation Systems</t>
  </si>
  <si>
    <t>G1028</t>
  </si>
  <si>
    <t>Israel</t>
  </si>
  <si>
    <t>G1030</t>
  </si>
  <si>
    <t>Iran; Israel</t>
  </si>
  <si>
    <t>Government Facilities; Transportation Systems</t>
  </si>
  <si>
    <t>G1031</t>
  </si>
  <si>
    <t>Georgia; Russia; Ukraine</t>
  </si>
  <si>
    <t>G1032</t>
  </si>
  <si>
    <t>Critical Manufacturing; Education; Healthcare and Public Health; Information Technology</t>
  </si>
  <si>
    <t>G1033</t>
  </si>
  <si>
    <t>Defense Industrial Base; Education; Government Facilities; NGO</t>
  </si>
  <si>
    <t>G1034</t>
  </si>
  <si>
    <t>Communications; Government Facilities; Information Technology; NGO</t>
  </si>
  <si>
    <t>G1035</t>
  </si>
  <si>
    <t>India; Russia</t>
  </si>
  <si>
    <t>G1036</t>
  </si>
  <si>
    <t>G1037</t>
  </si>
  <si>
    <t>G1038</t>
  </si>
  <si>
    <t>Communications; Information Technology</t>
  </si>
  <si>
    <t>G1039</t>
  </si>
  <si>
    <t>Canada; Russia; Ukraine; United Kingdom</t>
  </si>
  <si>
    <t>G1040</t>
  </si>
  <si>
    <t>Emergency Services; Government Facilities; Healthcare and Public Health; Information Technology; Media</t>
  </si>
  <si>
    <t>G1041</t>
  </si>
  <si>
    <t>TÃ¼rkiye</t>
  </si>
  <si>
    <t>G1042</t>
  </si>
  <si>
    <t>China; India</t>
  </si>
  <si>
    <t>G1043</t>
  </si>
  <si>
    <t>G1044</t>
  </si>
  <si>
    <t>Emergency Services; Information Technology</t>
  </si>
  <si>
    <t>G1045</t>
  </si>
  <si>
    <t>G1046</t>
  </si>
  <si>
    <t>G1047</t>
  </si>
  <si>
    <t>G1048</t>
  </si>
  <si>
    <t>China; Japan; United States</t>
  </si>
  <si>
    <t>Communications; Defense Industrial Base; Energy; Information Technology</t>
  </si>
  <si>
    <t>G1049</t>
  </si>
  <si>
    <t>Financial Services; Government Facilities; Information Technology; Transportation Systems</t>
  </si>
  <si>
    <t>G1050</t>
  </si>
  <si>
    <t>Financial Services; Information Technology; Water and Wastewater Systems</t>
  </si>
  <si>
    <t>G1051</t>
  </si>
  <si>
    <t>G1052</t>
  </si>
  <si>
    <t>G1053</t>
  </si>
  <si>
    <t>G1054</t>
  </si>
  <si>
    <t>Critical Manufacturing; Defense Industrial Base; Education; Financial Services; Government Facilities; Information Technology; Media</t>
  </si>
  <si>
    <t>G1055</t>
  </si>
  <si>
    <t>Albania; Iran; Israel; United States</t>
  </si>
  <si>
    <t>CARI</t>
  </si>
  <si>
    <t>UN-CN-DFKOR-A-0001</t>
  </si>
  <si>
    <t>UN-CN-U-N-0002</t>
  </si>
  <si>
    <t>ST-IR-U-A-0003</t>
  </si>
  <si>
    <t>ST-CN-FHKS-A-0004</t>
  </si>
  <si>
    <t>ST-CN-KR-A-0005</t>
  </si>
  <si>
    <t>ST-CN-F-A-0006</t>
  </si>
  <si>
    <t>ST-RU-AFNO-A-0007</t>
  </si>
  <si>
    <t>NC-XX-IM-A-0008</t>
  </si>
  <si>
    <t>ST-CN-CFIKL-N-0009</t>
  </si>
  <si>
    <t>ST-RU-FKLMPQ-A-0010</t>
  </si>
  <si>
    <t>UN-CN-U-N-0011</t>
  </si>
  <si>
    <t>UN-KR-BF-A-0012</t>
  </si>
  <si>
    <t>UN-CN-K-N-0013</t>
  </si>
  <si>
    <t>ST-ZZ-KOS-A-0016</t>
  </si>
  <si>
    <t>UN-XX-U-A-0017</t>
  </si>
  <si>
    <t>UN-CN-IMR-A-0018</t>
  </si>
  <si>
    <t>ST-CN-FK-N-0019</t>
  </si>
  <si>
    <t>UN-XX-U-A-0020</t>
  </si>
  <si>
    <t>UN-US-U-N-0021</t>
  </si>
  <si>
    <t>ST-ZZ-K-A-0022</t>
  </si>
  <si>
    <t>UN-CN-U-N-0023</t>
  </si>
  <si>
    <t>ST-CN-U-A-0024</t>
  </si>
  <si>
    <t>UN-CN-FKM-N-0025</t>
  </si>
  <si>
    <t>UN-XX-DKLMS-A-0026</t>
  </si>
  <si>
    <t>UN-CN-DFHKM-A-0027</t>
  </si>
  <si>
    <t>UN-XX-U-N-0028</t>
  </si>
  <si>
    <t>NH-CN-KS-N-0029</t>
  </si>
  <si>
    <t>UN-XX-K-A-0030</t>
  </si>
  <si>
    <t>ST-KP-IO-A-0032</t>
  </si>
  <si>
    <t>UN-XX-O-N-0033</t>
  </si>
  <si>
    <t>ST-ZZ-AFHKM-A-0034</t>
  </si>
  <si>
    <t>ST-ZZ-DFGKO-A-0035</t>
  </si>
  <si>
    <t>UN-XX-I-N-0036</t>
  </si>
  <si>
    <t>UN-XX-BGIL-A-0037</t>
  </si>
  <si>
    <t>NH-AE-KRS-N-0038</t>
  </si>
  <si>
    <t>UN-CN-U-N-0039</t>
  </si>
  <si>
    <t>UN-IN-KS-A-0040</t>
  </si>
  <si>
    <t>UN-ZZ-U-A-0041</t>
  </si>
  <si>
    <t>UN-IR-MP-N-0043</t>
  </si>
  <si>
    <t>UN-CN-O-N-0044</t>
  </si>
  <si>
    <t>UN-CN-DFHIKLMOQ-A-0045</t>
  </si>
  <si>
    <t>NC-US-BHIJLMOR-A-0046</t>
  </si>
  <si>
    <t>UN-ZZ-FKOS-A-0047</t>
  </si>
  <si>
    <t>NC-RU-GIM-A-0048</t>
  </si>
  <si>
    <t>ST-IR-ACHIK-A-0049</t>
  </si>
  <si>
    <t>UN-ZZ-KR-A-0050</t>
  </si>
  <si>
    <t>NC-XX-I-N-0051</t>
  </si>
  <si>
    <t>UN-ZZ-U-N-0052</t>
  </si>
  <si>
    <t>NC-RU-BI-N-0053</t>
  </si>
  <si>
    <t>UN-XX-K-N-0054</t>
  </si>
  <si>
    <t>UN-TR-O-N-0055</t>
  </si>
  <si>
    <t>UN-TR-U-N-0056</t>
  </si>
  <si>
    <t>UN-IR-FKQR-A-0059</t>
  </si>
  <si>
    <t>UN-CN-DKLM-A-0060</t>
  </si>
  <si>
    <t>NC-XX-ABILM-A-0061</t>
  </si>
  <si>
    <t>UN-ZZ-S-A-0062</t>
  </si>
  <si>
    <t>NH-XX-ORS-A-0063</t>
  </si>
  <si>
    <t>UN-ZZ-HO-A-0064</t>
  </si>
  <si>
    <t>ST-ZZ-DFKLO-A-0035</t>
  </si>
  <si>
    <t>UN-CN-FKOS-N-0066</t>
  </si>
  <si>
    <t>ST-ZZ-OS-A-0067</t>
  </si>
  <si>
    <t>UN-XX-K-A-0068</t>
  </si>
  <si>
    <t>UN-ZZ-CFHIKP-A-0069</t>
  </si>
  <si>
    <t>ST-XX-U-N-0070</t>
  </si>
  <si>
    <t>UN-US-LM-N-0071</t>
  </si>
  <si>
    <t>UN-CN-CDFHILQ-N-0073</t>
  </si>
  <si>
    <t>UN-XX-U-A-0075</t>
  </si>
  <si>
    <t>UN-XX-CF-A-0076</t>
  </si>
  <si>
    <t>UN-IR-K-N-0077</t>
  </si>
  <si>
    <t>NC-ZZ-K-N-0078</t>
  </si>
  <si>
    <t>UN-XX-KQ-N-0079</t>
  </si>
  <si>
    <t>NC-ES-GIMO-A-0080</t>
  </si>
  <si>
    <t>UN-ZZ-KLO-A-0081</t>
  </si>
  <si>
    <t>ST-ZZ-BIO-A-0082</t>
  </si>
  <si>
    <t>UN-XX-DMQ-N-0083</t>
  </si>
  <si>
    <t>UN-XX-FK-N-0084</t>
  </si>
  <si>
    <t>UN-XX-IL-N-0085</t>
  </si>
  <si>
    <t>UN-IR-CKLQ-A-0087</t>
  </si>
  <si>
    <t>UN-RU-DGM-N-0088</t>
  </si>
  <si>
    <t>ST-PK-FK-N-0089</t>
  </si>
  <si>
    <t>UN-ZZ-FIKMS-N-0090</t>
  </si>
  <si>
    <t>NC-ZZ-GI-N-0091</t>
  </si>
  <si>
    <t>NC-XX-M-N-0092</t>
  </si>
  <si>
    <t>ST-ZZ-CIK-A-0093</t>
  </si>
  <si>
    <t>ST-ZZ-DHKOQS-A-0094</t>
  </si>
  <si>
    <t>UN-ZZ-CFHK-N-0095</t>
  </si>
  <si>
    <t>ST-CN-BCILMOQ-A-0096</t>
  </si>
  <si>
    <t>UN-ZZ-DIR-0098</t>
  </si>
  <si>
    <t>NC-ZZ-DHIK-A-0099</t>
  </si>
  <si>
    <t>UN-ZZ-KM-A-0100</t>
  </si>
  <si>
    <t>NC-RU-ILM-A-0102</t>
  </si>
  <si>
    <t>UN-ZZ-FK-N-0103</t>
  </si>
  <si>
    <t>NC-XX-I-A-0105</t>
  </si>
  <si>
    <t>NC-CN-I-A-0106</t>
  </si>
  <si>
    <t>UN-SG-L-N-0107</t>
  </si>
  <si>
    <t>UN-XX-GI-A-0108</t>
  </si>
  <si>
    <t>UN-XX-K-N-0112</t>
  </si>
  <si>
    <t>UN-ZZ-DO-N-0114</t>
  </si>
  <si>
    <t>NC-XX-IM-A-0115</t>
  </si>
  <si>
    <t>UN-ZZ-DFHKLM-A-0117</t>
  </si>
  <si>
    <t>NC-RU-IM-A-0119</t>
  </si>
  <si>
    <t>NC-XX-I-A-0120</t>
  </si>
  <si>
    <t>UN-ZZ-FK-A-0121</t>
  </si>
  <si>
    <t>UN-IR-K-N-0122</t>
  </si>
  <si>
    <t>UN-XX-U-A-0123</t>
  </si>
  <si>
    <t>UN-XX-M-N-0124</t>
  </si>
  <si>
    <t>ST-CN-FMQS-A-0125</t>
  </si>
  <si>
    <t>UN-ZZ-K-A-0126</t>
  </si>
  <si>
    <t>UN-XX-I-A-0127</t>
  </si>
  <si>
    <t>UN-CN-U-A-0128</t>
  </si>
  <si>
    <t>UN-ZZ-KS-A-0129</t>
  </si>
  <si>
    <t>UN-IR-DF-N-0130</t>
  </si>
  <si>
    <t>ST-ZZ-FHIKLMQ-A-0131</t>
  </si>
  <si>
    <t>UN-RU-K-N-0133</t>
  </si>
  <si>
    <t>UN-ZZ-FK-A-0134</t>
  </si>
  <si>
    <t>UN-XX-C-A-0135</t>
  </si>
  <si>
    <t>UN-CN-KR-N-0136</t>
  </si>
  <si>
    <t>UN-IR-U-N-0137</t>
  </si>
  <si>
    <t>ST-ZZ-FIKO-A-0138</t>
  </si>
  <si>
    <t>UN-XX-IM-A-0139</t>
  </si>
  <si>
    <t>UN-XX-O-A-0140</t>
  </si>
  <si>
    <t>UN-XX-FK-A-0142</t>
  </si>
  <si>
    <t>UN-CN-CDKM-N-0143</t>
  </si>
  <si>
    <t>UN-ZZ-CHO-A-1001</t>
  </si>
  <si>
    <t>UN-ZZ-HK-A-1002</t>
  </si>
  <si>
    <t>ST-ZZ-CKM-A-1003</t>
  </si>
  <si>
    <t>NC-XX-CDHKLMQR-N-1004</t>
  </si>
  <si>
    <t>UN-ZZ-DFKM-N-1005</t>
  </si>
  <si>
    <t>NC-ZZ-CIKQRS-A-1006</t>
  </si>
  <si>
    <t>UN-ZZ-CKQ-A-1007</t>
  </si>
  <si>
    <t>UN-ZZ-K-A-1008</t>
  </si>
  <si>
    <t>UN-ZZ-DEHIKP-A-1009</t>
  </si>
  <si>
    <t>NC-XX-ILM-A-1011</t>
  </si>
  <si>
    <t>UN-IR-OR-N-1012</t>
  </si>
  <si>
    <t>UN-XX-CO-N-1013</t>
  </si>
  <si>
    <t>UN-ZZ-K-N-1014</t>
  </si>
  <si>
    <t>NC-XX-BCDFILM-A-1015</t>
  </si>
  <si>
    <t>NC-MX-BIL-A-1016</t>
  </si>
  <si>
    <t>ST-ZZ-MO-A-1017</t>
  </si>
  <si>
    <t>NC-XX-DFO-A-1018</t>
  </si>
  <si>
    <t>UN-BY-U-A-1019</t>
  </si>
  <si>
    <t>NC-XX-M-N-1020</t>
  </si>
  <si>
    <t>ST-CN-IKM-A-1021</t>
  </si>
  <si>
    <t>UN-XX-FK-A-1022</t>
  </si>
  <si>
    <t>UN-CN-CFM-A-1023</t>
  </si>
  <si>
    <t>NC-XX-M-A-1024</t>
  </si>
  <si>
    <t>NC-ZZ-CIMO-N-1026</t>
  </si>
  <si>
    <t>UN-IL-F-N-1028</t>
  </si>
  <si>
    <t>NC-ZZ-KO-A-1030</t>
  </si>
  <si>
    <t>UN-ZZ-KM-A-1031</t>
  </si>
  <si>
    <t>NC-XX-DLMQ-A-1032</t>
  </si>
  <si>
    <t>UN-ZZ-FKQS-N-1033</t>
  </si>
  <si>
    <t>UN-CN-CKMS-N-1034</t>
  </si>
  <si>
    <t>UN-ZZ-KS-A-1035</t>
  </si>
  <si>
    <t>NC-KP-I-N-1036</t>
  </si>
  <si>
    <t>UN-XX-M-N-1037</t>
  </si>
  <si>
    <t>UN-XX-CM-N-1038</t>
  </si>
  <si>
    <t>UN-ZZ-I-N-1039</t>
  </si>
  <si>
    <t>NC-XX-GKLMR-A-1040</t>
  </si>
  <si>
    <t>UN-TR-O-A-1041</t>
  </si>
  <si>
    <t>UN-ZZ-M-N-1042</t>
  </si>
  <si>
    <t>NC-XX-M-A-1043</t>
  </si>
  <si>
    <t>UN-IR-GM-N-1044</t>
  </si>
  <si>
    <t>UN-CN-C-A-1045</t>
  </si>
  <si>
    <t>NC-XX-IM-A-1046</t>
  </si>
  <si>
    <t>UN-XX-U-A-1047</t>
  </si>
  <si>
    <t>UN-ZZ-CFHM-A-1048</t>
  </si>
  <si>
    <t>ST-KP-IKMO-A-1049</t>
  </si>
  <si>
    <t>NC-RU-IMP-N-1050</t>
  </si>
  <si>
    <t>NC-XX-MO-A-1051</t>
  </si>
  <si>
    <t>NC-KP-GIM-A-1052</t>
  </si>
  <si>
    <t>NC-XX-IM-A-1053</t>
  </si>
  <si>
    <t>UN-CN-DFIKMQR-A-1054</t>
  </si>
  <si>
    <t>UN-ZZ-K-A-1055</t>
  </si>
  <si>
    <t>Total</t>
  </si>
  <si>
    <t>Unknown or Unattributed</t>
  </si>
  <si>
    <t>UN</t>
  </si>
  <si>
    <t>NH</t>
  </si>
  <si>
    <t>Nonstate Cybercriminal</t>
  </si>
  <si>
    <t>NC</t>
  </si>
  <si>
    <t>State Sponsored</t>
  </si>
  <si>
    <t>ST</t>
  </si>
  <si>
    <t>Count</t>
  </si>
  <si>
    <t xml:space="preserve">Meaning </t>
  </si>
  <si>
    <t>KEV Status Code</t>
  </si>
  <si>
    <t>Country Name</t>
  </si>
  <si>
    <t>ISO 3166 Code</t>
  </si>
  <si>
    <t>BY</t>
  </si>
  <si>
    <t>CN</t>
  </si>
  <si>
    <t>IN</t>
  </si>
  <si>
    <t>IR</t>
  </si>
  <si>
    <t>IL</t>
  </si>
  <si>
    <t>MX</t>
  </si>
  <si>
    <t>KP</t>
  </si>
  <si>
    <t>PK</t>
  </si>
  <si>
    <t>RU</t>
  </si>
  <si>
    <t>SG</t>
  </si>
  <si>
    <t>KR</t>
  </si>
  <si>
    <t>ES</t>
  </si>
  <si>
    <t>TR</t>
  </si>
  <si>
    <t xml:space="preserve">United Arab Emirates </t>
  </si>
  <si>
    <t>AE</t>
  </si>
  <si>
    <t xml:space="preserve">United States </t>
  </si>
  <si>
    <t>US</t>
  </si>
  <si>
    <t>Unknown Affiliation</t>
  </si>
  <si>
    <t>XX</t>
  </si>
  <si>
    <t>Multiple Affiliations</t>
  </si>
  <si>
    <t>ZZ</t>
  </si>
  <si>
    <t xml:space="preserve">Targeted Sector Code </t>
  </si>
  <si>
    <t>Meaning</t>
  </si>
  <si>
    <t>Single Entry Counts</t>
  </si>
  <si>
    <t>All Instances</t>
  </si>
  <si>
    <t>Chemical </t>
  </si>
  <si>
    <t>Commercial Facilities </t>
  </si>
  <si>
    <t>Communications </t>
  </si>
  <si>
    <t>Critical Manufacturing </t>
  </si>
  <si>
    <t xml:space="preserve"> Instances of Targeted Sector Values</t>
  </si>
  <si>
    <t>Counts</t>
  </si>
  <si>
    <t>Dams </t>
  </si>
  <si>
    <t>Single Targeted Sector</t>
  </si>
  <si>
    <t>Defense Industrial Base </t>
  </si>
  <si>
    <t>Multiple Targeted Sectors</t>
  </si>
  <si>
    <t>154 Has Targeted Sector</t>
  </si>
  <si>
    <t>Emergency Services </t>
  </si>
  <si>
    <t>Unknown or Insufficient Data</t>
  </si>
  <si>
    <t>20 Unknown</t>
  </si>
  <si>
    <t>Energy </t>
  </si>
  <si>
    <t>Financial Services  </t>
  </si>
  <si>
    <t>Food and Agriculture </t>
  </si>
  <si>
    <t>Government Facilities </t>
  </si>
  <si>
    <t>Healthcare &amp; Public Health </t>
  </si>
  <si>
    <t>Information Technology </t>
  </si>
  <si>
    <t>Nuclear Reactors, Materials &amp; Waste  </t>
  </si>
  <si>
    <t>Transportation Systems </t>
  </si>
  <si>
    <t>Water &amp; Wastewater Systems </t>
  </si>
  <si>
    <t>Education </t>
  </si>
  <si>
    <t>Media </t>
  </si>
  <si>
    <t>NGO </t>
  </si>
  <si>
    <t>U</t>
  </si>
  <si>
    <t>Unknown/Insufficient data  </t>
  </si>
  <si>
    <t>Z</t>
  </si>
  <si>
    <t xml:space="preserve">Cross-sector </t>
  </si>
  <si>
    <t>A</t>
  </si>
  <si>
    <t>Asociated with 1 or more CISA KEV-listed CVEs</t>
  </si>
  <si>
    <t>N</t>
  </si>
  <si>
    <t>No known KEV-listed CVE exploitation</t>
  </si>
  <si>
    <t xml:space="preserve">Unknown or insufficient data </t>
  </si>
  <si>
    <t>Risk Group</t>
  </si>
  <si>
    <t>High-Risk</t>
  </si>
  <si>
    <t>Value = 1</t>
  </si>
  <si>
    <t>Value = 0</t>
  </si>
  <si>
    <t xml:space="preserve">Low-Risk </t>
  </si>
  <si>
    <t>High-Risk Actors</t>
  </si>
  <si>
    <t xml:space="preserve">Targeted Sector </t>
  </si>
  <si>
    <t xml:space="preserve">Government or Defense Sectors </t>
  </si>
  <si>
    <t>Other Sectors</t>
  </si>
  <si>
    <t>`</t>
  </si>
  <si>
    <t>Country</t>
  </si>
  <si>
    <t>Actor Type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</si>
</sst>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0" borderId="0" xfId="0" applyAlignment="1">
      <alignment horizontal="center" wrapText="1"/>
    </xf>
    <xf numFmtId="0" fontId="16" fillId="33" borderId="11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 wrapText="1"/>
    </xf>
    <xf numFmtId="0" fontId="16" fillId="33" borderId="12" xfId="0" applyFont="1" applyFill="1" applyBorder="1"/>
    <xf numFmtId="0" fontId="16" fillId="33" borderId="13" xfId="0" applyFont="1" applyFill="1" applyBorder="1" applyAlignment="1">
      <alignment horizontal="right"/>
    </xf>
    <xf numFmtId="0" fontId="0" fillId="0" borderId="10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0" fillId="0" borderId="15" xfId="0" applyBorder="1"/>
    <xf numFmtId="0" fontId="16" fillId="33" borderId="16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17C5-FB92-4794-852F-E8544A013A14}">
  <dimension ref="A1:AD175"/>
  <sheetViews>
    <sheetView tabSelected="1" workbookViewId="0">
      <selection activeCell="E173" sqref="E173"/>
    </sheetView>
  </sheetViews>
  <sheetFormatPr defaultRowHeight="15" x14ac:dyDescent="0.25"/>
  <cols>
    <col min="1" max="1" width="25.28515625" bestFit="1" customWidth="1"/>
    <col min="3" max="3" width="19.7109375" bestFit="1" customWidth="1"/>
    <col min="4" max="4" width="17.7109375" customWidth="1"/>
    <col min="5" max="5" width="81.7109375" customWidth="1"/>
  </cols>
  <sheetData>
    <row r="1" spans="1:30" x14ac:dyDescent="0.25">
      <c r="A1" s="12" t="s">
        <v>372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t="s">
        <v>373</v>
      </c>
      <c r="B2" t="s">
        <v>29</v>
      </c>
      <c r="C2" t="s">
        <v>30</v>
      </c>
      <c r="D2" t="s">
        <v>31</v>
      </c>
      <c r="E2" t="s">
        <v>32</v>
      </c>
      <c r="F2">
        <v>16</v>
      </c>
      <c r="G2">
        <v>11</v>
      </c>
      <c r="H2">
        <v>0.123076923</v>
      </c>
      <c r="I2">
        <v>9</v>
      </c>
      <c r="J2">
        <v>9.0222222219999999</v>
      </c>
      <c r="K2">
        <v>9.8000000000000007</v>
      </c>
      <c r="L2">
        <v>8</v>
      </c>
      <c r="M2">
        <v>0.33333333300000001</v>
      </c>
      <c r="N2">
        <v>0.88888888899999996</v>
      </c>
      <c r="O2">
        <v>2830</v>
      </c>
      <c r="P2">
        <v>2830</v>
      </c>
      <c r="Q2">
        <v>101</v>
      </c>
      <c r="R2">
        <v>28.01980198</v>
      </c>
      <c r="S2">
        <v>182</v>
      </c>
      <c r="T2">
        <v>9.4752770000000007E-3</v>
      </c>
      <c r="U2">
        <v>9.4752770000000007E-3</v>
      </c>
      <c r="V2">
        <v>0.51236428700000003</v>
      </c>
      <c r="W2">
        <v>9.4752770000000007E-3</v>
      </c>
      <c r="X2">
        <v>0.39</v>
      </c>
      <c r="Y2">
        <v>0.37507719899999997</v>
      </c>
      <c r="Z2">
        <v>1</v>
      </c>
      <c r="AA2">
        <v>1</v>
      </c>
      <c r="AB2">
        <v>1</v>
      </c>
      <c r="AC2">
        <v>1</v>
      </c>
      <c r="AD2">
        <v>1</v>
      </c>
    </row>
    <row r="3" spans="1:30" x14ac:dyDescent="0.25">
      <c r="A3" t="s">
        <v>374</v>
      </c>
      <c r="B3" t="s">
        <v>33</v>
      </c>
      <c r="C3" t="s">
        <v>30</v>
      </c>
      <c r="D3" t="s">
        <v>31</v>
      </c>
      <c r="E3" t="s">
        <v>34</v>
      </c>
      <c r="F3">
        <v>1</v>
      </c>
      <c r="G3">
        <v>1</v>
      </c>
      <c r="H3">
        <v>7.6923080000000001E-3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2830</v>
      </c>
      <c r="P3">
        <v>2830</v>
      </c>
      <c r="Q3">
        <v>101</v>
      </c>
      <c r="R3">
        <v>28.01980198</v>
      </c>
      <c r="S3">
        <v>182</v>
      </c>
      <c r="T3">
        <v>9.4752770000000007E-3</v>
      </c>
      <c r="U3">
        <v>9.4752770000000007E-3</v>
      </c>
      <c r="V3">
        <v>3.8461540000000001E-3</v>
      </c>
      <c r="W3">
        <v>9.4752770000000007E-3</v>
      </c>
      <c r="X3">
        <v>0</v>
      </c>
      <c r="Y3">
        <v>3.8181320000000001E-3</v>
      </c>
      <c r="Z3">
        <v>1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375</v>
      </c>
      <c r="B4" t="s">
        <v>35</v>
      </c>
      <c r="C4" t="s">
        <v>36</v>
      </c>
      <c r="D4" t="s">
        <v>37</v>
      </c>
      <c r="E4" t="s">
        <v>34</v>
      </c>
      <c r="F4">
        <v>5</v>
      </c>
      <c r="G4">
        <v>3</v>
      </c>
      <c r="H4">
        <v>3.8461538000000003E-2</v>
      </c>
      <c r="I4">
        <v>10</v>
      </c>
      <c r="J4">
        <v>7.755555556</v>
      </c>
      <c r="K4">
        <v>9.8000000000000007</v>
      </c>
      <c r="L4">
        <v>4</v>
      </c>
      <c r="M4">
        <v>0.1</v>
      </c>
      <c r="N4">
        <v>0.4</v>
      </c>
      <c r="O4">
        <v>5342</v>
      </c>
      <c r="P4">
        <v>5342</v>
      </c>
      <c r="Q4">
        <v>125</v>
      </c>
      <c r="R4">
        <v>42.735999999999997</v>
      </c>
      <c r="S4">
        <v>2238</v>
      </c>
      <c r="T4">
        <v>1.7885841E-2</v>
      </c>
      <c r="U4">
        <v>1.4451759999999999E-2</v>
      </c>
      <c r="V4">
        <v>0.31573977800000003</v>
      </c>
      <c r="W4">
        <v>1.6855617E-2</v>
      </c>
      <c r="X4">
        <v>0.28666666699999999</v>
      </c>
      <c r="Y4">
        <v>0.24724101200000001</v>
      </c>
      <c r="Z4">
        <v>1</v>
      </c>
      <c r="AA4">
        <v>0</v>
      </c>
      <c r="AB4">
        <v>1</v>
      </c>
      <c r="AC4">
        <v>0</v>
      </c>
      <c r="AD4">
        <v>0</v>
      </c>
    </row>
    <row r="5" spans="1:30" x14ac:dyDescent="0.25">
      <c r="A5" t="s">
        <v>376</v>
      </c>
      <c r="B5" t="s">
        <v>38</v>
      </c>
      <c r="C5" t="s">
        <v>36</v>
      </c>
      <c r="D5" t="s">
        <v>31</v>
      </c>
      <c r="E5" t="s">
        <v>39</v>
      </c>
      <c r="F5">
        <v>46</v>
      </c>
      <c r="G5">
        <v>12</v>
      </c>
      <c r="H5">
        <v>0.35384615400000002</v>
      </c>
      <c r="I5">
        <v>2</v>
      </c>
      <c r="J5">
        <v>9.8000000000000007</v>
      </c>
      <c r="K5">
        <v>9.8000000000000007</v>
      </c>
      <c r="L5">
        <v>1</v>
      </c>
      <c r="M5">
        <v>1</v>
      </c>
      <c r="N5">
        <v>0.5</v>
      </c>
      <c r="O5">
        <v>2830</v>
      </c>
      <c r="P5">
        <v>2830</v>
      </c>
      <c r="Q5">
        <v>101</v>
      </c>
      <c r="R5">
        <v>28.01980198</v>
      </c>
      <c r="S5">
        <v>182</v>
      </c>
      <c r="T5">
        <v>9.4752770000000007E-3</v>
      </c>
      <c r="U5">
        <v>9.4752770000000007E-3</v>
      </c>
      <c r="V5">
        <v>0.55023388799999995</v>
      </c>
      <c r="W5">
        <v>9.4752770000000007E-3</v>
      </c>
      <c r="X5">
        <v>6.3333333000000006E-2</v>
      </c>
      <c r="Y5">
        <v>0.29601199900000003</v>
      </c>
      <c r="Z5">
        <v>1</v>
      </c>
      <c r="AA5">
        <v>1</v>
      </c>
      <c r="AB5">
        <v>1</v>
      </c>
      <c r="AC5">
        <v>0</v>
      </c>
      <c r="AD5">
        <v>1</v>
      </c>
    </row>
    <row r="6" spans="1:30" x14ac:dyDescent="0.25">
      <c r="A6" t="s">
        <v>377</v>
      </c>
      <c r="B6" t="s">
        <v>40</v>
      </c>
      <c r="C6" t="s">
        <v>36</v>
      </c>
      <c r="D6" t="s">
        <v>31</v>
      </c>
      <c r="E6" t="s">
        <v>41</v>
      </c>
      <c r="F6">
        <v>5</v>
      </c>
      <c r="G6">
        <v>3</v>
      </c>
      <c r="H6">
        <v>3.8461538000000003E-2</v>
      </c>
      <c r="I6">
        <v>6</v>
      </c>
      <c r="J6">
        <v>8.3000000000000007</v>
      </c>
      <c r="K6">
        <v>8.8000000000000007</v>
      </c>
      <c r="L6">
        <v>6</v>
      </c>
      <c r="M6">
        <v>0</v>
      </c>
      <c r="N6">
        <v>1</v>
      </c>
      <c r="O6">
        <v>2830</v>
      </c>
      <c r="P6">
        <v>2830</v>
      </c>
      <c r="Q6">
        <v>101</v>
      </c>
      <c r="R6">
        <v>28.01980198</v>
      </c>
      <c r="S6">
        <v>182</v>
      </c>
      <c r="T6">
        <v>9.4752770000000007E-3</v>
      </c>
      <c r="U6">
        <v>9.4752770000000007E-3</v>
      </c>
      <c r="V6">
        <v>0.479534823</v>
      </c>
      <c r="W6">
        <v>9.4752770000000007E-3</v>
      </c>
      <c r="X6">
        <v>0.28000000000000003</v>
      </c>
      <c r="Y6">
        <v>0.32566246700000001</v>
      </c>
      <c r="Z6">
        <v>1</v>
      </c>
      <c r="AA6">
        <v>1</v>
      </c>
      <c r="AB6">
        <v>1</v>
      </c>
      <c r="AC6">
        <v>0</v>
      </c>
      <c r="AD6">
        <v>1</v>
      </c>
    </row>
    <row r="7" spans="1:30" x14ac:dyDescent="0.25">
      <c r="A7" t="s">
        <v>378</v>
      </c>
      <c r="B7" t="s">
        <v>42</v>
      </c>
      <c r="C7" t="s">
        <v>36</v>
      </c>
      <c r="D7" t="s">
        <v>31</v>
      </c>
      <c r="E7" t="s">
        <v>43</v>
      </c>
      <c r="F7">
        <v>23</v>
      </c>
      <c r="G7">
        <v>8</v>
      </c>
      <c r="H7">
        <v>0.17692307700000001</v>
      </c>
      <c r="I7">
        <v>1</v>
      </c>
      <c r="J7">
        <v>9.8000000000000007</v>
      </c>
      <c r="K7">
        <v>9.8000000000000007</v>
      </c>
      <c r="L7">
        <v>1</v>
      </c>
      <c r="M7">
        <v>1</v>
      </c>
      <c r="N7">
        <v>1</v>
      </c>
      <c r="O7">
        <v>2830</v>
      </c>
      <c r="P7">
        <v>2830</v>
      </c>
      <c r="Q7">
        <v>101</v>
      </c>
      <c r="R7">
        <v>28.01980198</v>
      </c>
      <c r="S7">
        <v>182</v>
      </c>
      <c r="T7">
        <v>9.4752770000000007E-3</v>
      </c>
      <c r="U7">
        <v>9.4752770000000007E-3</v>
      </c>
      <c r="V7">
        <v>0.58677234899999997</v>
      </c>
      <c r="W7">
        <v>9.4752770000000007E-3</v>
      </c>
      <c r="X7">
        <v>4.6666667000000002E-2</v>
      </c>
      <c r="Y7">
        <v>0.30928123000000002</v>
      </c>
      <c r="Z7">
        <v>1</v>
      </c>
      <c r="AA7">
        <v>1</v>
      </c>
      <c r="AB7">
        <v>1</v>
      </c>
      <c r="AC7">
        <v>0</v>
      </c>
      <c r="AD7">
        <v>1</v>
      </c>
    </row>
    <row r="8" spans="1:30" x14ac:dyDescent="0.25">
      <c r="A8" t="s">
        <v>379</v>
      </c>
      <c r="B8" t="s">
        <v>44</v>
      </c>
      <c r="C8" t="s">
        <v>36</v>
      </c>
      <c r="D8" t="s">
        <v>45</v>
      </c>
      <c r="E8" t="s">
        <v>46</v>
      </c>
      <c r="F8">
        <v>93</v>
      </c>
      <c r="G8">
        <v>15</v>
      </c>
      <c r="H8">
        <v>0.71538461499999995</v>
      </c>
      <c r="I8">
        <v>24</v>
      </c>
      <c r="J8">
        <v>8.1125000000000007</v>
      </c>
      <c r="K8">
        <v>9.8000000000000007</v>
      </c>
      <c r="L8">
        <v>20</v>
      </c>
      <c r="M8">
        <v>0.20833333300000001</v>
      </c>
      <c r="N8">
        <v>0.83333333300000001</v>
      </c>
      <c r="O8">
        <v>39560</v>
      </c>
      <c r="P8">
        <v>39560</v>
      </c>
      <c r="Q8">
        <v>101</v>
      </c>
      <c r="R8">
        <v>391.68316829999998</v>
      </c>
      <c r="S8">
        <v>1716</v>
      </c>
      <c r="T8">
        <v>0.13245299199999999</v>
      </c>
      <c r="U8">
        <v>0.13245299199999999</v>
      </c>
      <c r="V8">
        <v>0.77157885000000004</v>
      </c>
      <c r="W8">
        <v>0.13245299199999999</v>
      </c>
      <c r="X8">
        <v>1</v>
      </c>
      <c r="Y8">
        <v>0.71228002400000001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 x14ac:dyDescent="0.25">
      <c r="A9" t="s">
        <v>380</v>
      </c>
      <c r="B9" t="s">
        <v>47</v>
      </c>
      <c r="C9" t="s">
        <v>48</v>
      </c>
      <c r="D9" t="s">
        <v>30</v>
      </c>
      <c r="E9" t="s">
        <v>49</v>
      </c>
      <c r="F9">
        <v>9</v>
      </c>
      <c r="G9">
        <v>7</v>
      </c>
      <c r="H9">
        <v>6.9230768999999998E-2</v>
      </c>
      <c r="I9">
        <v>2</v>
      </c>
      <c r="J9">
        <v>9.1999999999999993</v>
      </c>
      <c r="K9">
        <v>10</v>
      </c>
      <c r="L9">
        <v>2</v>
      </c>
      <c r="M9">
        <v>0.5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0.51772349299999998</v>
      </c>
      <c r="W9">
        <v>0</v>
      </c>
      <c r="X9">
        <v>9.3333333000000004E-2</v>
      </c>
      <c r="Y9">
        <v>0.28686174599999997</v>
      </c>
      <c r="Z9">
        <v>1</v>
      </c>
      <c r="AA9">
        <v>1</v>
      </c>
      <c r="AB9">
        <v>1</v>
      </c>
      <c r="AC9">
        <v>0</v>
      </c>
      <c r="AD9">
        <v>0</v>
      </c>
    </row>
    <row r="10" spans="1:30" x14ac:dyDescent="0.25">
      <c r="A10" t="s">
        <v>381</v>
      </c>
      <c r="B10" t="s">
        <v>50</v>
      </c>
      <c r="C10" t="s">
        <v>36</v>
      </c>
      <c r="D10" t="s">
        <v>31</v>
      </c>
      <c r="E10" t="s">
        <v>51</v>
      </c>
      <c r="F10">
        <v>10</v>
      </c>
      <c r="G10">
        <v>6</v>
      </c>
      <c r="H10">
        <v>7.6923077000000006E-2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2830</v>
      </c>
      <c r="P10">
        <v>2830</v>
      </c>
      <c r="Q10">
        <v>101</v>
      </c>
      <c r="R10">
        <v>28.01980198</v>
      </c>
      <c r="S10">
        <v>182</v>
      </c>
      <c r="T10">
        <v>9.4752770000000007E-3</v>
      </c>
      <c r="U10">
        <v>9.4752770000000007E-3</v>
      </c>
      <c r="V10">
        <v>3.8461538000000003E-2</v>
      </c>
      <c r="W10">
        <v>9.4752770000000007E-3</v>
      </c>
      <c r="X10">
        <v>0</v>
      </c>
      <c r="Y10">
        <v>2.1125825000000001E-2</v>
      </c>
      <c r="Z10">
        <v>1</v>
      </c>
      <c r="AA10">
        <v>1</v>
      </c>
      <c r="AB10">
        <v>0</v>
      </c>
      <c r="AC10">
        <v>0</v>
      </c>
      <c r="AD10">
        <v>1</v>
      </c>
    </row>
    <row r="11" spans="1:30" x14ac:dyDescent="0.25">
      <c r="A11" t="s">
        <v>382</v>
      </c>
      <c r="B11" t="s">
        <v>52</v>
      </c>
      <c r="C11" t="s">
        <v>36</v>
      </c>
      <c r="D11" t="s">
        <v>45</v>
      </c>
      <c r="E11" t="s">
        <v>53</v>
      </c>
      <c r="F11">
        <v>68</v>
      </c>
      <c r="G11">
        <v>13</v>
      </c>
      <c r="H11">
        <v>0.52307692299999997</v>
      </c>
      <c r="I11">
        <v>1</v>
      </c>
      <c r="J11">
        <v>7.8</v>
      </c>
      <c r="K11">
        <v>7.8</v>
      </c>
      <c r="L11">
        <v>1</v>
      </c>
      <c r="M11">
        <v>0</v>
      </c>
      <c r="N11">
        <v>1</v>
      </c>
      <c r="O11">
        <v>39560</v>
      </c>
      <c r="P11">
        <v>39560</v>
      </c>
      <c r="Q11">
        <v>101</v>
      </c>
      <c r="R11">
        <v>391.68316829999998</v>
      </c>
      <c r="S11">
        <v>1716</v>
      </c>
      <c r="T11">
        <v>0.13245299199999999</v>
      </c>
      <c r="U11">
        <v>0.13245299199999999</v>
      </c>
      <c r="V11">
        <v>0.70917359700000004</v>
      </c>
      <c r="W11">
        <v>0.13245299199999999</v>
      </c>
      <c r="X11">
        <v>4.6666667000000002E-2</v>
      </c>
      <c r="Y11">
        <v>0.395077397</v>
      </c>
      <c r="Z11">
        <v>1</v>
      </c>
      <c r="AA11">
        <v>1</v>
      </c>
      <c r="AB11">
        <v>1</v>
      </c>
      <c r="AC11">
        <v>1</v>
      </c>
      <c r="AD11">
        <v>1</v>
      </c>
    </row>
    <row r="12" spans="1:30" x14ac:dyDescent="0.25">
      <c r="A12" t="s">
        <v>383</v>
      </c>
      <c r="B12" t="s">
        <v>54</v>
      </c>
      <c r="C12" t="s">
        <v>30</v>
      </c>
      <c r="D12" t="s">
        <v>31</v>
      </c>
      <c r="E12" t="s">
        <v>34</v>
      </c>
      <c r="F12">
        <v>2</v>
      </c>
      <c r="G12">
        <v>5</v>
      </c>
      <c r="H12">
        <v>1.5384615000000001E-2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2830</v>
      </c>
      <c r="P12">
        <v>2830</v>
      </c>
      <c r="Q12">
        <v>101</v>
      </c>
      <c r="R12">
        <v>28.01980198</v>
      </c>
      <c r="S12">
        <v>182</v>
      </c>
      <c r="T12">
        <v>9.4752770000000007E-3</v>
      </c>
      <c r="U12">
        <v>9.4752770000000007E-3</v>
      </c>
      <c r="V12">
        <v>7.6923080000000001E-3</v>
      </c>
      <c r="W12">
        <v>9.4752770000000007E-3</v>
      </c>
      <c r="X12">
        <v>0</v>
      </c>
      <c r="Y12">
        <v>5.7412089999999997E-3</v>
      </c>
      <c r="Z12">
        <v>1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384</v>
      </c>
      <c r="B13" t="s">
        <v>55</v>
      </c>
      <c r="C13" t="s">
        <v>30</v>
      </c>
      <c r="D13" t="s">
        <v>56</v>
      </c>
      <c r="E13" t="s">
        <v>57</v>
      </c>
      <c r="F13">
        <v>24</v>
      </c>
      <c r="G13">
        <v>11</v>
      </c>
      <c r="H13">
        <v>0.18461538499999999</v>
      </c>
      <c r="I13">
        <v>2</v>
      </c>
      <c r="J13">
        <v>9.3000000000000007</v>
      </c>
      <c r="K13">
        <v>9.8000000000000007</v>
      </c>
      <c r="L13">
        <v>2</v>
      </c>
      <c r="M13">
        <v>0.5</v>
      </c>
      <c r="N13">
        <v>1</v>
      </c>
      <c r="O13">
        <v>40</v>
      </c>
      <c r="P13">
        <v>40</v>
      </c>
      <c r="Q13">
        <v>57</v>
      </c>
      <c r="R13">
        <v>0.70175438599999995</v>
      </c>
      <c r="S13">
        <v>5</v>
      </c>
      <c r="T13">
        <v>1.33926E-4</v>
      </c>
      <c r="U13">
        <v>2.3730800000000001E-4</v>
      </c>
      <c r="V13">
        <v>0.57794958399999996</v>
      </c>
      <c r="W13">
        <v>1.6494099999999999E-4</v>
      </c>
      <c r="X13">
        <v>9.3333333000000004E-2</v>
      </c>
      <c r="Y13">
        <v>0.31700778000000002</v>
      </c>
      <c r="Z13">
        <v>1</v>
      </c>
      <c r="AA13">
        <v>1</v>
      </c>
      <c r="AB13">
        <v>1</v>
      </c>
      <c r="AC13">
        <v>0</v>
      </c>
      <c r="AD13">
        <v>1</v>
      </c>
    </row>
    <row r="14" spans="1:30" x14ac:dyDescent="0.25">
      <c r="A14" t="s">
        <v>385</v>
      </c>
      <c r="B14" t="s">
        <v>58</v>
      </c>
      <c r="C14" t="s">
        <v>30</v>
      </c>
      <c r="D14" t="s">
        <v>31</v>
      </c>
      <c r="E14" t="s">
        <v>59</v>
      </c>
      <c r="F14">
        <v>2</v>
      </c>
      <c r="G14">
        <v>2</v>
      </c>
      <c r="H14">
        <v>1.5384615000000001E-2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2830</v>
      </c>
      <c r="P14">
        <v>2830</v>
      </c>
      <c r="Q14">
        <v>101</v>
      </c>
      <c r="R14">
        <v>28.01980198</v>
      </c>
      <c r="S14">
        <v>182</v>
      </c>
      <c r="T14">
        <v>9.4752770000000007E-3</v>
      </c>
      <c r="U14">
        <v>9.4752770000000007E-3</v>
      </c>
      <c r="V14">
        <v>7.6923080000000001E-3</v>
      </c>
      <c r="W14">
        <v>9.4752770000000007E-3</v>
      </c>
      <c r="X14">
        <v>0</v>
      </c>
      <c r="Y14">
        <v>5.7412089999999997E-3</v>
      </c>
      <c r="Z14">
        <v>1</v>
      </c>
      <c r="AA14">
        <v>1</v>
      </c>
      <c r="AB14">
        <v>0</v>
      </c>
      <c r="AC14">
        <v>0</v>
      </c>
      <c r="AD14">
        <v>1</v>
      </c>
    </row>
    <row r="15" spans="1:30" x14ac:dyDescent="0.25">
      <c r="A15" t="s">
        <v>386</v>
      </c>
      <c r="B15" t="s">
        <v>60</v>
      </c>
      <c r="C15" t="s">
        <v>36</v>
      </c>
      <c r="D15" t="s">
        <v>61</v>
      </c>
      <c r="E15" t="s">
        <v>62</v>
      </c>
      <c r="F15">
        <v>66</v>
      </c>
      <c r="G15">
        <v>13</v>
      </c>
      <c r="H15">
        <v>0.50769230799999998</v>
      </c>
      <c r="I15">
        <v>8</v>
      </c>
      <c r="J15">
        <v>9.3249999999999993</v>
      </c>
      <c r="K15">
        <v>10</v>
      </c>
      <c r="L15">
        <v>7</v>
      </c>
      <c r="M15">
        <v>0.75</v>
      </c>
      <c r="N15">
        <v>0.875</v>
      </c>
      <c r="O15">
        <v>39560</v>
      </c>
      <c r="P15">
        <v>39560</v>
      </c>
      <c r="Q15">
        <v>101</v>
      </c>
      <c r="R15">
        <v>391.68316829999998</v>
      </c>
      <c r="S15">
        <v>1716</v>
      </c>
      <c r="T15">
        <v>0.13245299199999999</v>
      </c>
      <c r="U15">
        <v>0.13245299199999999</v>
      </c>
      <c r="V15">
        <v>0.70887149199999999</v>
      </c>
      <c r="W15">
        <v>0.13245299199999999</v>
      </c>
      <c r="X15">
        <v>0.34333333300000002</v>
      </c>
      <c r="Y15">
        <v>0.48392634400000001</v>
      </c>
      <c r="Z15">
        <v>1</v>
      </c>
      <c r="AA15">
        <v>1</v>
      </c>
      <c r="AB15">
        <v>1</v>
      </c>
      <c r="AC15">
        <v>1</v>
      </c>
      <c r="AD15">
        <v>1</v>
      </c>
    </row>
    <row r="16" spans="1:30" x14ac:dyDescent="0.25">
      <c r="A16" t="s">
        <v>387</v>
      </c>
      <c r="B16" t="s">
        <v>63</v>
      </c>
      <c r="C16" t="s">
        <v>30</v>
      </c>
      <c r="D16" t="s">
        <v>30</v>
      </c>
      <c r="E16" t="s">
        <v>34</v>
      </c>
      <c r="F16">
        <v>0</v>
      </c>
      <c r="G16">
        <v>0</v>
      </c>
      <c r="H16">
        <v>0</v>
      </c>
      <c r="I16">
        <v>1</v>
      </c>
      <c r="J16">
        <v>7.8</v>
      </c>
      <c r="K16">
        <v>7.8</v>
      </c>
      <c r="L16">
        <v>1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0.44763513500000002</v>
      </c>
      <c r="W16">
        <v>0</v>
      </c>
      <c r="X16">
        <v>4.6666667000000002E-2</v>
      </c>
      <c r="Y16">
        <v>0.23781756800000001</v>
      </c>
      <c r="Z16">
        <v>1</v>
      </c>
      <c r="AA16">
        <v>0</v>
      </c>
      <c r="AB16">
        <v>1</v>
      </c>
      <c r="AC16">
        <v>0</v>
      </c>
      <c r="AD16">
        <v>0</v>
      </c>
    </row>
    <row r="17" spans="1:30" x14ac:dyDescent="0.25">
      <c r="A17" t="s">
        <v>388</v>
      </c>
      <c r="B17" t="s">
        <v>64</v>
      </c>
      <c r="C17" t="s">
        <v>30</v>
      </c>
      <c r="D17" t="s">
        <v>31</v>
      </c>
      <c r="E17" t="s">
        <v>65</v>
      </c>
      <c r="F17">
        <v>12</v>
      </c>
      <c r="G17">
        <v>4</v>
      </c>
      <c r="H17">
        <v>9.2307691999999997E-2</v>
      </c>
      <c r="I17">
        <v>1</v>
      </c>
      <c r="J17">
        <v>8.8000000000000007</v>
      </c>
      <c r="K17">
        <v>8.8000000000000007</v>
      </c>
      <c r="L17">
        <v>1</v>
      </c>
      <c r="M17">
        <v>0</v>
      </c>
      <c r="N17">
        <v>1</v>
      </c>
      <c r="O17">
        <v>2830</v>
      </c>
      <c r="P17">
        <v>2830</v>
      </c>
      <c r="Q17">
        <v>101</v>
      </c>
      <c r="R17">
        <v>28.01980198</v>
      </c>
      <c r="S17">
        <v>182</v>
      </c>
      <c r="T17">
        <v>9.4752770000000007E-3</v>
      </c>
      <c r="U17">
        <v>9.4752770000000007E-3</v>
      </c>
      <c r="V17">
        <v>0.51912681900000002</v>
      </c>
      <c r="W17">
        <v>9.4752770000000007E-3</v>
      </c>
      <c r="X17">
        <v>4.6666667000000002E-2</v>
      </c>
      <c r="Y17">
        <v>0.27545846499999999</v>
      </c>
      <c r="Z17">
        <v>1</v>
      </c>
      <c r="AA17">
        <v>1</v>
      </c>
      <c r="AB17">
        <v>1</v>
      </c>
      <c r="AC17">
        <v>0</v>
      </c>
      <c r="AD17">
        <v>0</v>
      </c>
    </row>
    <row r="18" spans="1:30" x14ac:dyDescent="0.25">
      <c r="A18" t="s">
        <v>389</v>
      </c>
      <c r="B18" t="s">
        <v>66</v>
      </c>
      <c r="C18" t="s">
        <v>36</v>
      </c>
      <c r="D18" t="s">
        <v>31</v>
      </c>
      <c r="E18" t="s">
        <v>67</v>
      </c>
      <c r="F18">
        <v>14</v>
      </c>
      <c r="G18">
        <v>6</v>
      </c>
      <c r="H18">
        <v>0.107692308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2830</v>
      </c>
      <c r="P18">
        <v>2830</v>
      </c>
      <c r="Q18">
        <v>101</v>
      </c>
      <c r="R18">
        <v>28.01980198</v>
      </c>
      <c r="S18">
        <v>182</v>
      </c>
      <c r="T18">
        <v>9.4752770000000007E-3</v>
      </c>
      <c r="U18">
        <v>9.4752770000000007E-3</v>
      </c>
      <c r="V18">
        <v>5.3846154E-2</v>
      </c>
      <c r="W18">
        <v>9.4752770000000007E-3</v>
      </c>
      <c r="X18">
        <v>0</v>
      </c>
      <c r="Y18">
        <v>2.8818132E-2</v>
      </c>
      <c r="Z18">
        <v>1</v>
      </c>
      <c r="AA18">
        <v>1</v>
      </c>
      <c r="AB18">
        <v>0</v>
      </c>
      <c r="AC18">
        <v>0</v>
      </c>
      <c r="AD18">
        <v>1</v>
      </c>
    </row>
    <row r="19" spans="1:30" x14ac:dyDescent="0.25">
      <c r="A19" t="s">
        <v>390</v>
      </c>
      <c r="B19" t="s">
        <v>68</v>
      </c>
      <c r="C19" t="s">
        <v>30</v>
      </c>
      <c r="D19" t="s">
        <v>30</v>
      </c>
      <c r="E19" t="s">
        <v>34</v>
      </c>
      <c r="F19">
        <v>4</v>
      </c>
      <c r="G19">
        <v>3</v>
      </c>
      <c r="H19">
        <v>3.0769231000000001E-2</v>
      </c>
      <c r="I19">
        <v>1</v>
      </c>
      <c r="J19">
        <v>8.8000000000000007</v>
      </c>
      <c r="K19">
        <v>8.8000000000000007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0.48835758800000001</v>
      </c>
      <c r="W19">
        <v>0</v>
      </c>
      <c r="X19">
        <v>4.6666667000000002E-2</v>
      </c>
      <c r="Y19">
        <v>0.25817879399999999</v>
      </c>
      <c r="Z19">
        <v>1</v>
      </c>
      <c r="AA19">
        <v>0</v>
      </c>
      <c r="AB19">
        <v>1</v>
      </c>
      <c r="AC19">
        <v>0</v>
      </c>
      <c r="AD19">
        <v>0</v>
      </c>
    </row>
    <row r="20" spans="1:30" x14ac:dyDescent="0.25">
      <c r="A20" t="s">
        <v>391</v>
      </c>
      <c r="B20" t="s">
        <v>69</v>
      </c>
      <c r="C20" t="s">
        <v>30</v>
      </c>
      <c r="D20" t="s">
        <v>70</v>
      </c>
      <c r="E20" t="s">
        <v>34</v>
      </c>
      <c r="F20">
        <v>16</v>
      </c>
      <c r="G20">
        <v>9</v>
      </c>
      <c r="H20">
        <v>0.123076923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1077</v>
      </c>
      <c r="P20">
        <v>1077</v>
      </c>
      <c r="Q20">
        <v>77</v>
      </c>
      <c r="R20">
        <v>13.98701299</v>
      </c>
      <c r="S20">
        <v>60</v>
      </c>
      <c r="T20">
        <v>3.6059619999999999E-3</v>
      </c>
      <c r="U20">
        <v>4.7298990000000001E-3</v>
      </c>
      <c r="V20">
        <v>6.1538462000000002E-2</v>
      </c>
      <c r="W20">
        <v>3.9431429999999996E-3</v>
      </c>
      <c r="X20">
        <v>0</v>
      </c>
      <c r="Y20">
        <v>3.1557859000000001E-2</v>
      </c>
      <c r="Z20">
        <v>1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392</v>
      </c>
      <c r="B21" t="s">
        <v>71</v>
      </c>
      <c r="C21" t="s">
        <v>36</v>
      </c>
      <c r="D21" t="s">
        <v>72</v>
      </c>
      <c r="E21" t="s">
        <v>59</v>
      </c>
      <c r="F21">
        <v>44</v>
      </c>
      <c r="G21">
        <v>11</v>
      </c>
      <c r="H21">
        <v>0.33846153800000001</v>
      </c>
      <c r="I21">
        <v>5</v>
      </c>
      <c r="J21">
        <v>9.4</v>
      </c>
      <c r="K21">
        <v>9.8000000000000007</v>
      </c>
      <c r="L21">
        <v>5</v>
      </c>
      <c r="M21">
        <v>0.8</v>
      </c>
      <c r="N21">
        <v>1</v>
      </c>
      <c r="O21">
        <v>2830</v>
      </c>
      <c r="P21">
        <v>2830</v>
      </c>
      <c r="Q21">
        <v>101</v>
      </c>
      <c r="R21">
        <v>28.01980198</v>
      </c>
      <c r="S21">
        <v>182</v>
      </c>
      <c r="T21">
        <v>9.4752770000000007E-3</v>
      </c>
      <c r="U21">
        <v>9.4752770000000007E-3</v>
      </c>
      <c r="V21">
        <v>0.65740644500000001</v>
      </c>
      <c r="W21">
        <v>9.4752770000000007E-3</v>
      </c>
      <c r="X21">
        <v>0.233333333</v>
      </c>
      <c r="Y21">
        <v>0.40059827799999997</v>
      </c>
      <c r="Z21">
        <v>1</v>
      </c>
      <c r="AA21">
        <v>1</v>
      </c>
      <c r="AB21">
        <v>1</v>
      </c>
      <c r="AC21">
        <v>1</v>
      </c>
      <c r="AD21">
        <v>1</v>
      </c>
    </row>
    <row r="22" spans="1:30" x14ac:dyDescent="0.25">
      <c r="A22" t="s">
        <v>393</v>
      </c>
      <c r="B22" t="s">
        <v>73</v>
      </c>
      <c r="C22" t="s">
        <v>30</v>
      </c>
      <c r="D22" t="s">
        <v>31</v>
      </c>
      <c r="E22" t="s">
        <v>34</v>
      </c>
      <c r="F22">
        <v>1</v>
      </c>
      <c r="G22">
        <v>1</v>
      </c>
      <c r="H22">
        <v>7.6923080000000001E-3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2830</v>
      </c>
      <c r="P22">
        <v>2830</v>
      </c>
      <c r="Q22">
        <v>101</v>
      </c>
      <c r="R22">
        <v>28.01980198</v>
      </c>
      <c r="S22">
        <v>182</v>
      </c>
      <c r="T22">
        <v>9.4752770000000007E-3</v>
      </c>
      <c r="U22">
        <v>9.4752770000000007E-3</v>
      </c>
      <c r="V22">
        <v>3.8461540000000001E-3</v>
      </c>
      <c r="W22">
        <v>9.4752770000000007E-3</v>
      </c>
      <c r="X22">
        <v>0</v>
      </c>
      <c r="Y22">
        <v>3.8181320000000001E-3</v>
      </c>
      <c r="Z22">
        <v>1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394</v>
      </c>
      <c r="B23" t="s">
        <v>74</v>
      </c>
      <c r="C23" t="s">
        <v>36</v>
      </c>
      <c r="D23" t="s">
        <v>31</v>
      </c>
      <c r="E23" t="s">
        <v>34</v>
      </c>
      <c r="F23">
        <v>4</v>
      </c>
      <c r="G23">
        <v>4</v>
      </c>
      <c r="H23">
        <v>3.0769231000000001E-2</v>
      </c>
      <c r="I23">
        <v>3</v>
      </c>
      <c r="J23">
        <v>9.4666666670000001</v>
      </c>
      <c r="K23">
        <v>9.8000000000000007</v>
      </c>
      <c r="L23">
        <v>3</v>
      </c>
      <c r="M23">
        <v>0.66666666699999999</v>
      </c>
      <c r="N23">
        <v>1</v>
      </c>
      <c r="O23">
        <v>2830</v>
      </c>
      <c r="P23">
        <v>2830</v>
      </c>
      <c r="Q23">
        <v>101</v>
      </c>
      <c r="R23">
        <v>28.01980198</v>
      </c>
      <c r="S23">
        <v>182</v>
      </c>
      <c r="T23">
        <v>9.4752770000000007E-3</v>
      </c>
      <c r="U23">
        <v>9.4752770000000007E-3</v>
      </c>
      <c r="V23">
        <v>0.50524948000000003</v>
      </c>
      <c r="W23">
        <v>9.4752770000000007E-3</v>
      </c>
      <c r="X23">
        <v>0.14000000000000001</v>
      </c>
      <c r="Y23">
        <v>0.296519796</v>
      </c>
      <c r="Z23">
        <v>1</v>
      </c>
      <c r="AA23">
        <v>0</v>
      </c>
      <c r="AB23">
        <v>1</v>
      </c>
      <c r="AC23">
        <v>0</v>
      </c>
      <c r="AD23">
        <v>0</v>
      </c>
    </row>
    <row r="24" spans="1:30" x14ac:dyDescent="0.25">
      <c r="A24" t="s">
        <v>395</v>
      </c>
      <c r="B24" t="s">
        <v>75</v>
      </c>
      <c r="C24" t="s">
        <v>30</v>
      </c>
      <c r="D24" t="s">
        <v>31</v>
      </c>
      <c r="E24" t="s">
        <v>76</v>
      </c>
      <c r="F24">
        <v>2</v>
      </c>
      <c r="G24">
        <v>1</v>
      </c>
      <c r="H24">
        <v>1.5384615000000001E-2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2830</v>
      </c>
      <c r="P24">
        <v>2830</v>
      </c>
      <c r="Q24">
        <v>101</v>
      </c>
      <c r="R24">
        <v>28.01980198</v>
      </c>
      <c r="S24">
        <v>182</v>
      </c>
      <c r="T24">
        <v>9.4752770000000007E-3</v>
      </c>
      <c r="U24">
        <v>9.4752770000000007E-3</v>
      </c>
      <c r="V24">
        <v>7.6923080000000001E-3</v>
      </c>
      <c r="W24">
        <v>9.4752770000000007E-3</v>
      </c>
      <c r="X24">
        <v>0</v>
      </c>
      <c r="Y24">
        <v>5.7412089999999997E-3</v>
      </c>
      <c r="Z24">
        <v>1</v>
      </c>
      <c r="AA24">
        <v>1</v>
      </c>
      <c r="AB24">
        <v>0</v>
      </c>
      <c r="AC24">
        <v>0</v>
      </c>
      <c r="AD24">
        <v>1</v>
      </c>
    </row>
    <row r="25" spans="1:30" x14ac:dyDescent="0.25">
      <c r="A25" t="s">
        <v>396</v>
      </c>
      <c r="B25" t="s">
        <v>77</v>
      </c>
      <c r="C25" t="s">
        <v>30</v>
      </c>
      <c r="D25" t="s">
        <v>30</v>
      </c>
      <c r="E25" t="s">
        <v>78</v>
      </c>
      <c r="F25">
        <v>12</v>
      </c>
      <c r="G25">
        <v>7</v>
      </c>
      <c r="H25">
        <v>9.2307691999999997E-2</v>
      </c>
      <c r="I25">
        <v>1</v>
      </c>
      <c r="J25">
        <v>9.8000000000000007</v>
      </c>
      <c r="K25">
        <v>9.8000000000000007</v>
      </c>
      <c r="L25">
        <v>1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0.54446465700000002</v>
      </c>
      <c r="W25">
        <v>0</v>
      </c>
      <c r="X25">
        <v>4.6666667000000002E-2</v>
      </c>
      <c r="Y25">
        <v>0.28623232799999998</v>
      </c>
      <c r="Z25">
        <v>1</v>
      </c>
      <c r="AA25">
        <v>1</v>
      </c>
      <c r="AB25">
        <v>1</v>
      </c>
      <c r="AC25">
        <v>0</v>
      </c>
      <c r="AD25">
        <v>1</v>
      </c>
    </row>
    <row r="26" spans="1:30" x14ac:dyDescent="0.25">
      <c r="A26" t="s">
        <v>397</v>
      </c>
      <c r="B26" t="s">
        <v>79</v>
      </c>
      <c r="C26" t="s">
        <v>30</v>
      </c>
      <c r="D26" t="s">
        <v>31</v>
      </c>
      <c r="E26" t="s">
        <v>80</v>
      </c>
      <c r="F26">
        <v>57</v>
      </c>
      <c r="G26">
        <v>13</v>
      </c>
      <c r="H26">
        <v>0.43846153799999998</v>
      </c>
      <c r="I26">
        <v>15</v>
      </c>
      <c r="J26">
        <v>8.3866666670000001</v>
      </c>
      <c r="K26">
        <v>9.8000000000000007</v>
      </c>
      <c r="L26">
        <v>12</v>
      </c>
      <c r="M26">
        <v>0.26666666700000002</v>
      </c>
      <c r="N26">
        <v>0.8</v>
      </c>
      <c r="O26">
        <v>2830</v>
      </c>
      <c r="P26">
        <v>2830</v>
      </c>
      <c r="Q26">
        <v>101</v>
      </c>
      <c r="R26">
        <v>28.01980198</v>
      </c>
      <c r="S26">
        <v>182</v>
      </c>
      <c r="T26">
        <v>9.4752770000000007E-3</v>
      </c>
      <c r="U26">
        <v>9.4752770000000007E-3</v>
      </c>
      <c r="V26">
        <v>0.63173076900000003</v>
      </c>
      <c r="W26">
        <v>9.4752770000000007E-3</v>
      </c>
      <c r="X26">
        <v>0.61</v>
      </c>
      <c r="Y26">
        <v>0.50076043999999997</v>
      </c>
      <c r="Z26">
        <v>1</v>
      </c>
      <c r="AA26">
        <v>1</v>
      </c>
      <c r="AB26">
        <v>1</v>
      </c>
      <c r="AC26">
        <v>1</v>
      </c>
      <c r="AD26">
        <v>1</v>
      </c>
    </row>
    <row r="27" spans="1:30" x14ac:dyDescent="0.25">
      <c r="A27" t="s">
        <v>398</v>
      </c>
      <c r="B27" t="s">
        <v>81</v>
      </c>
      <c r="C27" t="s">
        <v>30</v>
      </c>
      <c r="D27" t="s">
        <v>30</v>
      </c>
      <c r="E27" t="s">
        <v>34</v>
      </c>
      <c r="F27">
        <v>4</v>
      </c>
      <c r="G27">
        <v>6</v>
      </c>
      <c r="H27">
        <v>3.0769231000000001E-2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1.5384615000000001E-2</v>
      </c>
      <c r="W27">
        <v>0</v>
      </c>
      <c r="X27">
        <v>0</v>
      </c>
      <c r="Y27">
        <v>7.6923080000000001E-3</v>
      </c>
      <c r="Z27">
        <v>1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399</v>
      </c>
      <c r="B28" t="s">
        <v>82</v>
      </c>
      <c r="C28" t="s">
        <v>83</v>
      </c>
      <c r="D28" t="s">
        <v>31</v>
      </c>
      <c r="E28" t="s">
        <v>84</v>
      </c>
      <c r="F28">
        <v>1</v>
      </c>
      <c r="G28">
        <v>1</v>
      </c>
      <c r="H28">
        <v>7.6923080000000001E-3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2830</v>
      </c>
      <c r="P28">
        <v>2830</v>
      </c>
      <c r="Q28">
        <v>101</v>
      </c>
      <c r="R28">
        <v>28.01980198</v>
      </c>
      <c r="S28">
        <v>182</v>
      </c>
      <c r="T28">
        <v>9.4752770000000007E-3</v>
      </c>
      <c r="U28">
        <v>9.4752770000000007E-3</v>
      </c>
      <c r="V28">
        <v>3.8461540000000001E-3</v>
      </c>
      <c r="W28">
        <v>9.4752770000000007E-3</v>
      </c>
      <c r="X28">
        <v>0</v>
      </c>
      <c r="Y28">
        <v>3.8181320000000001E-3</v>
      </c>
      <c r="Z28">
        <v>1</v>
      </c>
      <c r="AA28">
        <v>1</v>
      </c>
      <c r="AB28">
        <v>0</v>
      </c>
      <c r="AC28">
        <v>0</v>
      </c>
      <c r="AD28">
        <v>1</v>
      </c>
    </row>
    <row r="29" spans="1:30" x14ac:dyDescent="0.25">
      <c r="A29" t="s">
        <v>400</v>
      </c>
      <c r="B29" t="s">
        <v>85</v>
      </c>
      <c r="C29" t="s">
        <v>30</v>
      </c>
      <c r="D29" t="s">
        <v>30</v>
      </c>
      <c r="E29" t="s">
        <v>59</v>
      </c>
      <c r="F29">
        <v>21</v>
      </c>
      <c r="G29">
        <v>10</v>
      </c>
      <c r="H29">
        <v>0.16153846199999999</v>
      </c>
      <c r="I29">
        <v>1</v>
      </c>
      <c r="J29">
        <v>8.8000000000000007</v>
      </c>
      <c r="K29">
        <v>8.8000000000000007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0.55374220399999996</v>
      </c>
      <c r="W29">
        <v>0</v>
      </c>
      <c r="X29">
        <v>4.6666667000000002E-2</v>
      </c>
      <c r="Y29">
        <v>0.29087110199999999</v>
      </c>
      <c r="Z29">
        <v>1</v>
      </c>
      <c r="AA29">
        <v>1</v>
      </c>
      <c r="AB29">
        <v>1</v>
      </c>
      <c r="AC29">
        <v>0</v>
      </c>
      <c r="AD29">
        <v>1</v>
      </c>
    </row>
    <row r="30" spans="1:30" x14ac:dyDescent="0.25">
      <c r="A30" t="s">
        <v>401</v>
      </c>
      <c r="B30" t="s">
        <v>86</v>
      </c>
      <c r="C30" t="s">
        <v>36</v>
      </c>
      <c r="D30" t="s">
        <v>87</v>
      </c>
      <c r="E30" t="s">
        <v>88</v>
      </c>
      <c r="F30">
        <v>93</v>
      </c>
      <c r="G30">
        <v>15</v>
      </c>
      <c r="H30">
        <v>0.71538461499999995</v>
      </c>
      <c r="I30">
        <v>4</v>
      </c>
      <c r="J30">
        <v>6.95</v>
      </c>
      <c r="K30">
        <v>7.8</v>
      </c>
      <c r="L30">
        <v>2</v>
      </c>
      <c r="M30">
        <v>0</v>
      </c>
      <c r="N30">
        <v>0.5</v>
      </c>
      <c r="O30">
        <v>64</v>
      </c>
      <c r="P30">
        <v>64</v>
      </c>
      <c r="Q30">
        <v>64</v>
      </c>
      <c r="R30">
        <v>1</v>
      </c>
      <c r="S30">
        <v>4</v>
      </c>
      <c r="T30">
        <v>2.1428199999999999E-4</v>
      </c>
      <c r="U30">
        <v>3.3816400000000001E-4</v>
      </c>
      <c r="V30">
        <v>0.65879028100000003</v>
      </c>
      <c r="W30">
        <v>2.51446E-4</v>
      </c>
      <c r="X30">
        <v>0.12666666700000001</v>
      </c>
      <c r="Y30">
        <v>0.36744543000000002</v>
      </c>
      <c r="Z30">
        <v>1</v>
      </c>
      <c r="AA30">
        <v>1</v>
      </c>
      <c r="AB30">
        <v>1</v>
      </c>
      <c r="AC30">
        <v>1</v>
      </c>
      <c r="AD30">
        <v>0</v>
      </c>
    </row>
    <row r="31" spans="1:30" x14ac:dyDescent="0.25">
      <c r="A31" t="s">
        <v>402</v>
      </c>
      <c r="B31" t="s">
        <v>89</v>
      </c>
      <c r="C31" t="s">
        <v>30</v>
      </c>
      <c r="D31" t="s">
        <v>30</v>
      </c>
      <c r="E31" t="s">
        <v>90</v>
      </c>
      <c r="F31">
        <v>8</v>
      </c>
      <c r="G31">
        <v>4</v>
      </c>
      <c r="H31">
        <v>6.1538462000000002E-2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3.0769231000000001E-2</v>
      </c>
      <c r="W31">
        <v>0</v>
      </c>
      <c r="X31">
        <v>0</v>
      </c>
      <c r="Y31">
        <v>1.5384615000000001E-2</v>
      </c>
      <c r="Z31">
        <v>1</v>
      </c>
      <c r="AA31">
        <v>1</v>
      </c>
      <c r="AB31">
        <v>0</v>
      </c>
      <c r="AC31">
        <v>0</v>
      </c>
      <c r="AD31">
        <v>0</v>
      </c>
    </row>
    <row r="32" spans="1:30" x14ac:dyDescent="0.25">
      <c r="A32" t="s">
        <v>403</v>
      </c>
      <c r="B32" t="s">
        <v>91</v>
      </c>
      <c r="C32" t="s">
        <v>36</v>
      </c>
      <c r="D32" t="s">
        <v>92</v>
      </c>
      <c r="E32" t="s">
        <v>93</v>
      </c>
      <c r="F32">
        <v>79</v>
      </c>
      <c r="G32">
        <v>14</v>
      </c>
      <c r="H32">
        <v>0.60769230799999996</v>
      </c>
      <c r="I32">
        <v>7</v>
      </c>
      <c r="J32">
        <v>9.0571428570000005</v>
      </c>
      <c r="K32">
        <v>10</v>
      </c>
      <c r="L32">
        <v>6</v>
      </c>
      <c r="M32">
        <v>0.571428571</v>
      </c>
      <c r="N32">
        <v>0.85714285700000004</v>
      </c>
      <c r="O32">
        <v>39560</v>
      </c>
      <c r="P32">
        <v>39560</v>
      </c>
      <c r="Q32">
        <v>101</v>
      </c>
      <c r="R32">
        <v>391.68316829999998</v>
      </c>
      <c r="S32">
        <v>1716</v>
      </c>
      <c r="T32">
        <v>0.13245299199999999</v>
      </c>
      <c r="U32">
        <v>0.13245299199999999</v>
      </c>
      <c r="V32">
        <v>0.747620285</v>
      </c>
      <c r="W32">
        <v>0.13245299199999999</v>
      </c>
      <c r="X32">
        <v>0.296666667</v>
      </c>
      <c r="Y32">
        <v>0.48930074099999998</v>
      </c>
      <c r="Z32">
        <v>1</v>
      </c>
      <c r="AA32">
        <v>1</v>
      </c>
      <c r="AB32">
        <v>1</v>
      </c>
      <c r="AC32">
        <v>1</v>
      </c>
      <c r="AD32">
        <v>1</v>
      </c>
    </row>
    <row r="33" spans="1:30" x14ac:dyDescent="0.25">
      <c r="A33" t="s">
        <v>404</v>
      </c>
      <c r="B33" t="s">
        <v>94</v>
      </c>
      <c r="C33" t="s">
        <v>36</v>
      </c>
      <c r="D33" t="s">
        <v>61</v>
      </c>
      <c r="E33" t="s">
        <v>95</v>
      </c>
      <c r="F33">
        <v>56</v>
      </c>
      <c r="G33">
        <v>13</v>
      </c>
      <c r="H33">
        <v>0.43076923099999997</v>
      </c>
      <c r="I33">
        <v>9</v>
      </c>
      <c r="J33">
        <v>8.9111111110000003</v>
      </c>
      <c r="K33">
        <v>9.8000000000000007</v>
      </c>
      <c r="L33">
        <v>7</v>
      </c>
      <c r="M33">
        <v>0.55555555599999995</v>
      </c>
      <c r="N33">
        <v>0.77777777800000003</v>
      </c>
      <c r="O33">
        <v>39560</v>
      </c>
      <c r="P33">
        <v>39560</v>
      </c>
      <c r="Q33">
        <v>101</v>
      </c>
      <c r="R33">
        <v>391.68316829999998</v>
      </c>
      <c r="S33">
        <v>1716</v>
      </c>
      <c r="T33">
        <v>0.13245299199999999</v>
      </c>
      <c r="U33">
        <v>0.13245299199999999</v>
      </c>
      <c r="V33">
        <v>0.63561734800000003</v>
      </c>
      <c r="W33">
        <v>0.13245299199999999</v>
      </c>
      <c r="X33">
        <v>0.36</v>
      </c>
      <c r="Y33">
        <v>0.45229927199999997</v>
      </c>
      <c r="Z33">
        <v>1</v>
      </c>
      <c r="AA33">
        <v>1</v>
      </c>
      <c r="AB33">
        <v>1</v>
      </c>
      <c r="AC33">
        <v>1</v>
      </c>
      <c r="AD33">
        <v>1</v>
      </c>
    </row>
    <row r="34" spans="1:30" x14ac:dyDescent="0.25">
      <c r="A34" t="s">
        <v>405</v>
      </c>
      <c r="B34" t="s">
        <v>96</v>
      </c>
      <c r="C34" t="s">
        <v>30</v>
      </c>
      <c r="D34" t="s">
        <v>30</v>
      </c>
      <c r="E34" t="s">
        <v>97</v>
      </c>
      <c r="F34">
        <v>2</v>
      </c>
      <c r="G34">
        <v>1</v>
      </c>
      <c r="H34">
        <v>1.5384615000000001E-2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7.6923080000000001E-3</v>
      </c>
      <c r="W34">
        <v>0</v>
      </c>
      <c r="X34">
        <v>0</v>
      </c>
      <c r="Y34">
        <v>3.8461540000000001E-3</v>
      </c>
      <c r="Z34">
        <v>1</v>
      </c>
      <c r="AA34">
        <v>1</v>
      </c>
      <c r="AB34">
        <v>0</v>
      </c>
      <c r="AC34">
        <v>0</v>
      </c>
      <c r="AD34">
        <v>0</v>
      </c>
    </row>
    <row r="35" spans="1:30" x14ac:dyDescent="0.25">
      <c r="A35" t="s">
        <v>406</v>
      </c>
      <c r="B35" t="s">
        <v>98</v>
      </c>
      <c r="C35" t="s">
        <v>30</v>
      </c>
      <c r="D35" t="s">
        <v>30</v>
      </c>
      <c r="E35" t="s">
        <v>99</v>
      </c>
      <c r="F35">
        <v>40</v>
      </c>
      <c r="G35">
        <v>13</v>
      </c>
      <c r="H35">
        <v>0.30769230800000003</v>
      </c>
      <c r="I35">
        <v>3</v>
      </c>
      <c r="J35">
        <v>7.8</v>
      </c>
      <c r="K35">
        <v>7.8</v>
      </c>
      <c r="L35">
        <v>3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0.60148128899999997</v>
      </c>
      <c r="W35">
        <v>0</v>
      </c>
      <c r="X35">
        <v>0.14000000000000001</v>
      </c>
      <c r="Y35">
        <v>0.34274064399999998</v>
      </c>
      <c r="Z35">
        <v>1</v>
      </c>
      <c r="AA35">
        <v>1</v>
      </c>
      <c r="AB35">
        <v>1</v>
      </c>
      <c r="AC35">
        <v>0</v>
      </c>
      <c r="AD35">
        <v>0</v>
      </c>
    </row>
    <row r="36" spans="1:30" x14ac:dyDescent="0.25">
      <c r="A36" t="s">
        <v>407</v>
      </c>
      <c r="B36" t="s">
        <v>100</v>
      </c>
      <c r="C36" t="s">
        <v>83</v>
      </c>
      <c r="D36" t="s">
        <v>101</v>
      </c>
      <c r="E36" t="s">
        <v>102</v>
      </c>
      <c r="F36">
        <v>16</v>
      </c>
      <c r="G36">
        <v>8</v>
      </c>
      <c r="H36">
        <v>0.123076923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130</v>
      </c>
      <c r="P36">
        <v>130</v>
      </c>
      <c r="Q36">
        <v>69</v>
      </c>
      <c r="R36">
        <v>1.8840579710000001</v>
      </c>
      <c r="S36">
        <v>84</v>
      </c>
      <c r="T36">
        <v>4.3525999999999998E-4</v>
      </c>
      <c r="U36">
        <v>6.3712000000000003E-4</v>
      </c>
      <c r="V36">
        <v>6.1538462000000002E-2</v>
      </c>
      <c r="W36">
        <v>4.9581799999999997E-4</v>
      </c>
      <c r="X36">
        <v>0</v>
      </c>
      <c r="Y36">
        <v>3.0868394E-2</v>
      </c>
      <c r="Z36">
        <v>1</v>
      </c>
      <c r="AA36">
        <v>1</v>
      </c>
      <c r="AB36">
        <v>0</v>
      </c>
      <c r="AC36">
        <v>0</v>
      </c>
      <c r="AD36">
        <v>1</v>
      </c>
    </row>
    <row r="37" spans="1:30" x14ac:dyDescent="0.25">
      <c r="A37" t="s">
        <v>408</v>
      </c>
      <c r="B37" t="s">
        <v>103</v>
      </c>
      <c r="C37" t="s">
        <v>30</v>
      </c>
      <c r="D37" t="s">
        <v>31</v>
      </c>
      <c r="E37" t="s">
        <v>34</v>
      </c>
      <c r="F37">
        <v>5</v>
      </c>
      <c r="G37">
        <v>8</v>
      </c>
      <c r="H37">
        <v>3.8461538000000003E-2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2830</v>
      </c>
      <c r="P37">
        <v>2830</v>
      </c>
      <c r="Q37">
        <v>101</v>
      </c>
      <c r="R37">
        <v>28.01980198</v>
      </c>
      <c r="S37">
        <v>182</v>
      </c>
      <c r="T37">
        <v>9.4752770000000007E-3</v>
      </c>
      <c r="U37">
        <v>9.4752770000000007E-3</v>
      </c>
      <c r="V37">
        <v>1.9230769000000002E-2</v>
      </c>
      <c r="W37">
        <v>9.4752770000000007E-3</v>
      </c>
      <c r="X37">
        <v>0</v>
      </c>
      <c r="Y37">
        <v>1.151044E-2</v>
      </c>
      <c r="Z37">
        <v>1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409</v>
      </c>
      <c r="B38" t="s">
        <v>104</v>
      </c>
      <c r="C38" t="s">
        <v>30</v>
      </c>
      <c r="D38" t="s">
        <v>105</v>
      </c>
      <c r="E38" t="s">
        <v>84</v>
      </c>
      <c r="F38">
        <v>41</v>
      </c>
      <c r="G38">
        <v>13</v>
      </c>
      <c r="H38">
        <v>0.31538461499999998</v>
      </c>
      <c r="I38">
        <v>6</v>
      </c>
      <c r="J38">
        <v>7.9666666670000001</v>
      </c>
      <c r="K38">
        <v>8.8000000000000007</v>
      </c>
      <c r="L38">
        <v>6</v>
      </c>
      <c r="M38">
        <v>0</v>
      </c>
      <c r="N38">
        <v>1</v>
      </c>
      <c r="O38">
        <v>33861</v>
      </c>
      <c r="P38">
        <v>33861</v>
      </c>
      <c r="Q38">
        <v>125</v>
      </c>
      <c r="R38">
        <v>270.88799999999998</v>
      </c>
      <c r="S38">
        <v>843</v>
      </c>
      <c r="T38">
        <v>0.11337185900000001</v>
      </c>
      <c r="U38">
        <v>9.1604461999999998E-2</v>
      </c>
      <c r="V38">
        <v>0.60955041600000004</v>
      </c>
      <c r="W38">
        <v>0.10684164</v>
      </c>
      <c r="X38">
        <v>0.28000000000000003</v>
      </c>
      <c r="Y38">
        <v>0.41014353599999998</v>
      </c>
      <c r="Z38">
        <v>1</v>
      </c>
      <c r="AA38">
        <v>1</v>
      </c>
      <c r="AB38">
        <v>1</v>
      </c>
      <c r="AC38">
        <v>1</v>
      </c>
      <c r="AD38">
        <v>1</v>
      </c>
    </row>
    <row r="39" spans="1:30" x14ac:dyDescent="0.25">
      <c r="A39" t="s">
        <v>410</v>
      </c>
      <c r="B39" t="s">
        <v>106</v>
      </c>
      <c r="C39" t="s">
        <v>30</v>
      </c>
      <c r="D39" t="s">
        <v>107</v>
      </c>
      <c r="E39" t="s">
        <v>34</v>
      </c>
      <c r="F39">
        <v>3</v>
      </c>
      <c r="G39">
        <v>5</v>
      </c>
      <c r="H39">
        <v>2.3076922999999999E-2</v>
      </c>
      <c r="I39">
        <v>1</v>
      </c>
      <c r="J39">
        <v>8.8000000000000007</v>
      </c>
      <c r="K39">
        <v>8.8000000000000007</v>
      </c>
      <c r="L39">
        <v>1</v>
      </c>
      <c r="M39">
        <v>0</v>
      </c>
      <c r="N39">
        <v>1</v>
      </c>
      <c r="O39">
        <v>39560</v>
      </c>
      <c r="P39">
        <v>39560</v>
      </c>
      <c r="Q39">
        <v>327</v>
      </c>
      <c r="R39">
        <v>391.68316829999998</v>
      </c>
      <c r="S39">
        <v>2238</v>
      </c>
      <c r="T39">
        <v>0.13245299199999999</v>
      </c>
      <c r="U39">
        <v>0.13245299199999999</v>
      </c>
      <c r="V39">
        <v>0.48451143499999999</v>
      </c>
      <c r="W39">
        <v>0.13245299199999999</v>
      </c>
      <c r="X39">
        <v>4.6666667000000002E-2</v>
      </c>
      <c r="Y39">
        <v>0.282746316</v>
      </c>
      <c r="Z39">
        <v>1</v>
      </c>
      <c r="AA39">
        <v>0</v>
      </c>
      <c r="AB39">
        <v>1</v>
      </c>
      <c r="AC39">
        <v>0</v>
      </c>
      <c r="AD39">
        <v>0</v>
      </c>
    </row>
    <row r="40" spans="1:30" x14ac:dyDescent="0.25">
      <c r="A40" t="s">
        <v>411</v>
      </c>
      <c r="B40" t="s">
        <v>108</v>
      </c>
      <c r="C40" t="s">
        <v>30</v>
      </c>
      <c r="D40" t="s">
        <v>37</v>
      </c>
      <c r="E40" t="s">
        <v>109</v>
      </c>
      <c r="F40">
        <v>4</v>
      </c>
      <c r="G40">
        <v>3</v>
      </c>
      <c r="H40">
        <v>3.0769231000000001E-2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5342</v>
      </c>
      <c r="P40">
        <v>5342</v>
      </c>
      <c r="Q40">
        <v>125</v>
      </c>
      <c r="R40">
        <v>42.735999999999997</v>
      </c>
      <c r="S40">
        <v>2238</v>
      </c>
      <c r="T40">
        <v>1.7885841E-2</v>
      </c>
      <c r="U40">
        <v>1.4451759999999999E-2</v>
      </c>
      <c r="V40">
        <v>1.5384615000000001E-2</v>
      </c>
      <c r="W40">
        <v>1.6855617E-2</v>
      </c>
      <c r="X40">
        <v>0</v>
      </c>
      <c r="Y40">
        <v>1.1063431E-2</v>
      </c>
      <c r="Z40">
        <v>1</v>
      </c>
      <c r="AA40">
        <v>1</v>
      </c>
      <c r="AB40">
        <v>0</v>
      </c>
      <c r="AC40">
        <v>0</v>
      </c>
      <c r="AD40">
        <v>0</v>
      </c>
    </row>
    <row r="41" spans="1:30" x14ac:dyDescent="0.25">
      <c r="A41" t="s">
        <v>412</v>
      </c>
      <c r="B41" t="s">
        <v>110</v>
      </c>
      <c r="C41" t="s">
        <v>30</v>
      </c>
      <c r="D41" t="s">
        <v>31</v>
      </c>
      <c r="E41" t="s">
        <v>90</v>
      </c>
      <c r="F41">
        <v>6</v>
      </c>
      <c r="G41">
        <v>5</v>
      </c>
      <c r="H41">
        <v>4.6153845999999998E-2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2830</v>
      </c>
      <c r="P41">
        <v>2830</v>
      </c>
      <c r="Q41">
        <v>101</v>
      </c>
      <c r="R41">
        <v>28.01980198</v>
      </c>
      <c r="S41">
        <v>182</v>
      </c>
      <c r="T41">
        <v>9.4752770000000007E-3</v>
      </c>
      <c r="U41">
        <v>9.4752770000000007E-3</v>
      </c>
      <c r="V41">
        <v>2.3076922999999999E-2</v>
      </c>
      <c r="W41">
        <v>9.4752770000000007E-3</v>
      </c>
      <c r="X41">
        <v>0</v>
      </c>
      <c r="Y41">
        <v>1.3433517000000001E-2</v>
      </c>
      <c r="Z41">
        <v>1</v>
      </c>
      <c r="AA41">
        <v>1</v>
      </c>
      <c r="AB41">
        <v>0</v>
      </c>
      <c r="AC41">
        <v>0</v>
      </c>
      <c r="AD41">
        <v>0</v>
      </c>
    </row>
    <row r="42" spans="1:30" x14ac:dyDescent="0.25">
      <c r="A42" t="s">
        <v>413</v>
      </c>
      <c r="B42" t="s">
        <v>111</v>
      </c>
      <c r="C42" t="s">
        <v>30</v>
      </c>
      <c r="D42" t="s">
        <v>31</v>
      </c>
      <c r="E42" t="s">
        <v>112</v>
      </c>
      <c r="F42">
        <v>46</v>
      </c>
      <c r="G42">
        <v>12</v>
      </c>
      <c r="H42">
        <v>0.35384615400000002</v>
      </c>
      <c r="I42">
        <v>6</v>
      </c>
      <c r="J42">
        <v>8.4666666670000001</v>
      </c>
      <c r="K42">
        <v>9.8000000000000007</v>
      </c>
      <c r="L42">
        <v>4</v>
      </c>
      <c r="M42">
        <v>0.33333333300000001</v>
      </c>
      <c r="N42">
        <v>0.66666666699999999</v>
      </c>
      <c r="O42">
        <v>2830</v>
      </c>
      <c r="P42">
        <v>2830</v>
      </c>
      <c r="Q42">
        <v>101</v>
      </c>
      <c r="R42">
        <v>28.01980198</v>
      </c>
      <c r="S42">
        <v>182</v>
      </c>
      <c r="T42">
        <v>9.4752770000000007E-3</v>
      </c>
      <c r="U42">
        <v>9.4752770000000007E-3</v>
      </c>
      <c r="V42">
        <v>0.55811677100000001</v>
      </c>
      <c r="W42">
        <v>9.4752770000000007E-3</v>
      </c>
      <c r="X42">
        <v>0.22</v>
      </c>
      <c r="Y42">
        <v>0.34695344099999997</v>
      </c>
      <c r="Z42">
        <v>1</v>
      </c>
      <c r="AA42">
        <v>1</v>
      </c>
      <c r="AB42">
        <v>1</v>
      </c>
      <c r="AC42">
        <v>1</v>
      </c>
      <c r="AD42">
        <v>1</v>
      </c>
    </row>
    <row r="43" spans="1:30" x14ac:dyDescent="0.25">
      <c r="A43" t="s">
        <v>414</v>
      </c>
      <c r="B43" t="s">
        <v>113</v>
      </c>
      <c r="C43" t="s">
        <v>48</v>
      </c>
      <c r="D43" t="s">
        <v>70</v>
      </c>
      <c r="E43" t="s">
        <v>114</v>
      </c>
      <c r="F43">
        <v>67</v>
      </c>
      <c r="G43">
        <v>15</v>
      </c>
      <c r="H43">
        <v>0.51538461499999999</v>
      </c>
      <c r="I43">
        <v>8</v>
      </c>
      <c r="J43">
        <v>8.25</v>
      </c>
      <c r="K43">
        <v>10</v>
      </c>
      <c r="L43">
        <v>6</v>
      </c>
      <c r="M43">
        <v>0.375</v>
      </c>
      <c r="N43">
        <v>0.75</v>
      </c>
      <c r="O43">
        <v>1077</v>
      </c>
      <c r="P43">
        <v>1077</v>
      </c>
      <c r="Q43">
        <v>77</v>
      </c>
      <c r="R43">
        <v>13.98701299</v>
      </c>
      <c r="S43">
        <v>60</v>
      </c>
      <c r="T43">
        <v>3.6059619999999999E-3</v>
      </c>
      <c r="U43">
        <v>4.7298990000000001E-3</v>
      </c>
      <c r="V43">
        <v>0.65422946999999998</v>
      </c>
      <c r="W43">
        <v>3.9431429999999996E-3</v>
      </c>
      <c r="X43">
        <v>0.31333333299999999</v>
      </c>
      <c r="Y43">
        <v>0.421903364</v>
      </c>
      <c r="Z43">
        <v>1</v>
      </c>
      <c r="AA43">
        <v>1</v>
      </c>
      <c r="AB43">
        <v>1</v>
      </c>
      <c r="AC43">
        <v>1</v>
      </c>
      <c r="AD43">
        <v>0</v>
      </c>
    </row>
    <row r="44" spans="1:30" x14ac:dyDescent="0.25">
      <c r="A44" t="s">
        <v>415</v>
      </c>
      <c r="B44" t="s">
        <v>115</v>
      </c>
      <c r="C44" t="s">
        <v>30</v>
      </c>
      <c r="D44" t="s">
        <v>116</v>
      </c>
      <c r="E44" t="s">
        <v>117</v>
      </c>
      <c r="F44">
        <v>70</v>
      </c>
      <c r="G44">
        <v>13</v>
      </c>
      <c r="H44">
        <v>0.53846153799999996</v>
      </c>
      <c r="I44">
        <v>2</v>
      </c>
      <c r="J44">
        <v>7.8</v>
      </c>
      <c r="K44">
        <v>7.8</v>
      </c>
      <c r="L44">
        <v>2</v>
      </c>
      <c r="M44">
        <v>0</v>
      </c>
      <c r="N44">
        <v>1</v>
      </c>
      <c r="O44">
        <v>298672</v>
      </c>
      <c r="P44">
        <v>298672</v>
      </c>
      <c r="Q44">
        <v>101</v>
      </c>
      <c r="R44">
        <v>2957.1485149999999</v>
      </c>
      <c r="S44">
        <v>7824</v>
      </c>
      <c r="T44">
        <v>1</v>
      </c>
      <c r="U44">
        <v>1</v>
      </c>
      <c r="V44">
        <v>0.71686590400000005</v>
      </c>
      <c r="W44">
        <v>1</v>
      </c>
      <c r="X44">
        <v>9.3333333000000004E-2</v>
      </c>
      <c r="Y44">
        <v>0.58643295200000001</v>
      </c>
      <c r="Z44">
        <v>1</v>
      </c>
      <c r="AA44">
        <v>1</v>
      </c>
      <c r="AB44">
        <v>1</v>
      </c>
      <c r="AC44">
        <v>1</v>
      </c>
      <c r="AD44">
        <v>1</v>
      </c>
    </row>
    <row r="45" spans="1:30" x14ac:dyDescent="0.25">
      <c r="A45" t="s">
        <v>416</v>
      </c>
      <c r="B45" t="s">
        <v>118</v>
      </c>
      <c r="C45" t="s">
        <v>48</v>
      </c>
      <c r="D45" t="s">
        <v>45</v>
      </c>
      <c r="E45" t="s">
        <v>119</v>
      </c>
      <c r="F45">
        <v>7</v>
      </c>
      <c r="G45">
        <v>6</v>
      </c>
      <c r="H45">
        <v>5.3846154E-2</v>
      </c>
      <c r="I45">
        <v>2</v>
      </c>
      <c r="J45">
        <v>9.1999999999999993</v>
      </c>
      <c r="K45">
        <v>10</v>
      </c>
      <c r="L45">
        <v>2</v>
      </c>
      <c r="M45">
        <v>0.5</v>
      </c>
      <c r="N45">
        <v>1</v>
      </c>
      <c r="O45">
        <v>39560</v>
      </c>
      <c r="P45">
        <v>39560</v>
      </c>
      <c r="Q45">
        <v>101</v>
      </c>
      <c r="R45">
        <v>391.68316829999998</v>
      </c>
      <c r="S45">
        <v>1716</v>
      </c>
      <c r="T45">
        <v>0.13245299199999999</v>
      </c>
      <c r="U45">
        <v>0.13245299199999999</v>
      </c>
      <c r="V45">
        <v>0.510031185</v>
      </c>
      <c r="W45">
        <v>0.13245299199999999</v>
      </c>
      <c r="X45">
        <v>9.3333333000000004E-2</v>
      </c>
      <c r="Y45">
        <v>0.30950619099999999</v>
      </c>
      <c r="Z45">
        <v>1</v>
      </c>
      <c r="AA45">
        <v>1</v>
      </c>
      <c r="AB45">
        <v>1</v>
      </c>
      <c r="AC45">
        <v>0</v>
      </c>
      <c r="AD45">
        <v>0</v>
      </c>
    </row>
    <row r="46" spans="1:30" x14ac:dyDescent="0.25">
      <c r="A46" t="s">
        <v>417</v>
      </c>
      <c r="B46" t="s">
        <v>120</v>
      </c>
      <c r="C46" t="s">
        <v>36</v>
      </c>
      <c r="D46" t="s">
        <v>37</v>
      </c>
      <c r="E46" t="s">
        <v>121</v>
      </c>
      <c r="F46">
        <v>76</v>
      </c>
      <c r="G46">
        <v>13</v>
      </c>
      <c r="H46">
        <v>0.58461538499999999</v>
      </c>
      <c r="I46">
        <v>6</v>
      </c>
      <c r="J46">
        <v>8.3000000000000007</v>
      </c>
      <c r="K46">
        <v>10</v>
      </c>
      <c r="L46">
        <v>5</v>
      </c>
      <c r="M46">
        <v>0.16666666699999999</v>
      </c>
      <c r="N46">
        <v>0.83333333300000001</v>
      </c>
      <c r="O46">
        <v>5342</v>
      </c>
      <c r="P46">
        <v>5342</v>
      </c>
      <c r="Q46">
        <v>125</v>
      </c>
      <c r="R46">
        <v>42.735999999999997</v>
      </c>
      <c r="S46">
        <v>2238</v>
      </c>
      <c r="T46">
        <v>1.7885841E-2</v>
      </c>
      <c r="U46">
        <v>1.4451759999999999E-2</v>
      </c>
      <c r="V46">
        <v>0.71094508000000001</v>
      </c>
      <c r="W46">
        <v>1.6855617E-2</v>
      </c>
      <c r="X46">
        <v>0.25</v>
      </c>
      <c r="Y46">
        <v>0.43384366299999999</v>
      </c>
      <c r="Z46">
        <v>1</v>
      </c>
      <c r="AA46">
        <v>1</v>
      </c>
      <c r="AB46">
        <v>1</v>
      </c>
      <c r="AC46">
        <v>1</v>
      </c>
      <c r="AD46">
        <v>1</v>
      </c>
    </row>
    <row r="47" spans="1:30" x14ac:dyDescent="0.25">
      <c r="A47" t="s">
        <v>418</v>
      </c>
      <c r="B47" t="s">
        <v>122</v>
      </c>
      <c r="C47" t="s">
        <v>30</v>
      </c>
      <c r="D47" t="s">
        <v>123</v>
      </c>
      <c r="E47" t="s">
        <v>41</v>
      </c>
      <c r="F47">
        <v>78</v>
      </c>
      <c r="G47">
        <v>14</v>
      </c>
      <c r="H47">
        <v>0.6</v>
      </c>
      <c r="I47">
        <v>3</v>
      </c>
      <c r="J47">
        <v>7.8</v>
      </c>
      <c r="K47">
        <v>7.8</v>
      </c>
      <c r="L47">
        <v>3</v>
      </c>
      <c r="M47">
        <v>0</v>
      </c>
      <c r="N47">
        <v>1</v>
      </c>
      <c r="O47">
        <v>14299</v>
      </c>
      <c r="P47">
        <v>14299</v>
      </c>
      <c r="Q47">
        <v>153</v>
      </c>
      <c r="R47">
        <v>114.392</v>
      </c>
      <c r="S47">
        <v>714</v>
      </c>
      <c r="T47">
        <v>4.7875261000000002E-2</v>
      </c>
      <c r="U47">
        <v>3.8683211000000002E-2</v>
      </c>
      <c r="V47">
        <v>0.74763513500000001</v>
      </c>
      <c r="W47">
        <v>4.5117645999999997E-2</v>
      </c>
      <c r="X47">
        <v>0.14000000000000001</v>
      </c>
      <c r="Y47">
        <v>0.424841097</v>
      </c>
      <c r="Z47">
        <v>1</v>
      </c>
      <c r="AA47">
        <v>1</v>
      </c>
      <c r="AB47">
        <v>1</v>
      </c>
      <c r="AC47">
        <v>1</v>
      </c>
      <c r="AD47">
        <v>1</v>
      </c>
    </row>
    <row r="48" spans="1:30" x14ac:dyDescent="0.25">
      <c r="A48" t="s">
        <v>419</v>
      </c>
      <c r="B48" t="s">
        <v>124</v>
      </c>
      <c r="C48" t="s">
        <v>48</v>
      </c>
      <c r="D48" t="s">
        <v>30</v>
      </c>
      <c r="E48" t="s">
        <v>97</v>
      </c>
      <c r="F48">
        <v>11</v>
      </c>
      <c r="G48">
        <v>8</v>
      </c>
      <c r="H48">
        <v>8.4615385000000001E-2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4.2307692000000001E-2</v>
      </c>
      <c r="W48">
        <v>0</v>
      </c>
      <c r="X48">
        <v>0</v>
      </c>
      <c r="Y48">
        <v>2.1153846E-2</v>
      </c>
      <c r="Z48">
        <v>1</v>
      </c>
      <c r="AA48">
        <v>1</v>
      </c>
      <c r="AB48">
        <v>0</v>
      </c>
      <c r="AC48">
        <v>0</v>
      </c>
      <c r="AD48">
        <v>0</v>
      </c>
    </row>
    <row r="49" spans="1:30" x14ac:dyDescent="0.25">
      <c r="A49" t="s">
        <v>420</v>
      </c>
      <c r="B49" t="s">
        <v>125</v>
      </c>
      <c r="C49" t="s">
        <v>30</v>
      </c>
      <c r="D49" t="s">
        <v>126</v>
      </c>
      <c r="E49" t="s">
        <v>34</v>
      </c>
      <c r="F49">
        <v>8</v>
      </c>
      <c r="G49">
        <v>6</v>
      </c>
      <c r="H49">
        <v>6.1538462000000002E-2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7074</v>
      </c>
      <c r="P49">
        <v>7074</v>
      </c>
      <c r="Q49">
        <v>125</v>
      </c>
      <c r="R49">
        <v>56.591999999999999</v>
      </c>
      <c r="S49">
        <v>2238</v>
      </c>
      <c r="T49">
        <v>2.3684845E-2</v>
      </c>
      <c r="U49">
        <v>1.9137355000000002E-2</v>
      </c>
      <c r="V49">
        <v>3.0769231000000001E-2</v>
      </c>
      <c r="W49">
        <v>2.2320598000000001E-2</v>
      </c>
      <c r="X49">
        <v>0</v>
      </c>
      <c r="Y49">
        <v>1.9848734999999999E-2</v>
      </c>
      <c r="Z49">
        <v>1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421</v>
      </c>
      <c r="B50" t="s">
        <v>127</v>
      </c>
      <c r="C50" t="s">
        <v>48</v>
      </c>
      <c r="D50" t="s">
        <v>45</v>
      </c>
      <c r="E50" t="s">
        <v>128</v>
      </c>
      <c r="F50">
        <v>11</v>
      </c>
      <c r="G50">
        <v>11</v>
      </c>
      <c r="H50">
        <v>8.4615385000000001E-2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39560</v>
      </c>
      <c r="P50">
        <v>39560</v>
      </c>
      <c r="Q50">
        <v>101</v>
      </c>
      <c r="R50">
        <v>391.68316829999998</v>
      </c>
      <c r="S50">
        <v>1716</v>
      </c>
      <c r="T50">
        <v>0.13245299199999999</v>
      </c>
      <c r="U50">
        <v>0.13245299199999999</v>
      </c>
      <c r="V50">
        <v>4.2307692000000001E-2</v>
      </c>
      <c r="W50">
        <v>0.13245299199999999</v>
      </c>
      <c r="X50">
        <v>0</v>
      </c>
      <c r="Y50">
        <v>4.7644445000000001E-2</v>
      </c>
      <c r="Z50">
        <v>1</v>
      </c>
      <c r="AA50">
        <v>1</v>
      </c>
      <c r="AB50">
        <v>0</v>
      </c>
      <c r="AC50">
        <v>0</v>
      </c>
      <c r="AD50">
        <v>0</v>
      </c>
    </row>
    <row r="51" spans="1:30" x14ac:dyDescent="0.25">
      <c r="A51" t="s">
        <v>422</v>
      </c>
      <c r="B51" t="s">
        <v>129</v>
      </c>
      <c r="C51" t="s">
        <v>30</v>
      </c>
      <c r="D51" t="s">
        <v>30</v>
      </c>
      <c r="E51" t="s">
        <v>59</v>
      </c>
      <c r="F51">
        <v>9</v>
      </c>
      <c r="G51">
        <v>5</v>
      </c>
      <c r="H51">
        <v>6.9230768999999998E-2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3.4615384999999999E-2</v>
      </c>
      <c r="W51">
        <v>0</v>
      </c>
      <c r="X51">
        <v>0</v>
      </c>
      <c r="Y51">
        <v>1.7307692E-2</v>
      </c>
      <c r="Z51">
        <v>1</v>
      </c>
      <c r="AA51">
        <v>1</v>
      </c>
      <c r="AB51">
        <v>0</v>
      </c>
      <c r="AC51">
        <v>0</v>
      </c>
      <c r="AD51">
        <v>1</v>
      </c>
    </row>
    <row r="52" spans="1:30" x14ac:dyDescent="0.25">
      <c r="A52" t="s">
        <v>423</v>
      </c>
      <c r="B52" t="s">
        <v>130</v>
      </c>
      <c r="C52" t="s">
        <v>30</v>
      </c>
      <c r="D52" t="s">
        <v>131</v>
      </c>
      <c r="E52" t="s">
        <v>90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6927</v>
      </c>
      <c r="P52">
        <v>6927</v>
      </c>
      <c r="Q52">
        <v>124</v>
      </c>
      <c r="R52">
        <v>55.862903230000001</v>
      </c>
      <c r="S52">
        <v>228</v>
      </c>
      <c r="T52">
        <v>2.3192666000000001E-2</v>
      </c>
      <c r="U52">
        <v>1.8890800999999999E-2</v>
      </c>
      <c r="V52">
        <v>0</v>
      </c>
      <c r="W52">
        <v>2.1902107000000001E-2</v>
      </c>
      <c r="X52">
        <v>0</v>
      </c>
      <c r="Y52">
        <v>4.3804209999999998E-3</v>
      </c>
      <c r="Z52">
        <v>1</v>
      </c>
      <c r="AA52">
        <v>1</v>
      </c>
      <c r="AB52">
        <v>0</v>
      </c>
      <c r="AC52">
        <v>0</v>
      </c>
      <c r="AD52">
        <v>0</v>
      </c>
    </row>
    <row r="53" spans="1:30" x14ac:dyDescent="0.25">
      <c r="A53" t="s">
        <v>424</v>
      </c>
      <c r="B53" t="s">
        <v>132</v>
      </c>
      <c r="C53" t="s">
        <v>30</v>
      </c>
      <c r="D53" t="s">
        <v>131</v>
      </c>
      <c r="E53" t="s">
        <v>34</v>
      </c>
      <c r="F53">
        <v>11</v>
      </c>
      <c r="G53">
        <v>8</v>
      </c>
      <c r="H53">
        <v>8.4615385000000001E-2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6927</v>
      </c>
      <c r="P53">
        <v>6927</v>
      </c>
      <c r="Q53">
        <v>124</v>
      </c>
      <c r="R53">
        <v>55.862903230000001</v>
      </c>
      <c r="S53">
        <v>228</v>
      </c>
      <c r="T53">
        <v>2.3192666000000001E-2</v>
      </c>
      <c r="U53">
        <v>1.8890800999999999E-2</v>
      </c>
      <c r="V53">
        <v>4.2307692000000001E-2</v>
      </c>
      <c r="W53">
        <v>2.1902107000000001E-2</v>
      </c>
      <c r="X53">
        <v>0</v>
      </c>
      <c r="Y53">
        <v>2.5534266999999999E-2</v>
      </c>
      <c r="Z53">
        <v>1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425</v>
      </c>
      <c r="B54" t="s">
        <v>133</v>
      </c>
      <c r="C54" t="s">
        <v>30</v>
      </c>
      <c r="D54" t="s">
        <v>37</v>
      </c>
      <c r="E54" t="s">
        <v>134</v>
      </c>
      <c r="F54">
        <v>78</v>
      </c>
      <c r="G54">
        <v>15</v>
      </c>
      <c r="H54">
        <v>0.6</v>
      </c>
      <c r="I54">
        <v>12</v>
      </c>
      <c r="J54">
        <v>8.8666666670000005</v>
      </c>
      <c r="K54">
        <v>10</v>
      </c>
      <c r="L54">
        <v>11</v>
      </c>
      <c r="M54">
        <v>0.66666666699999999</v>
      </c>
      <c r="N54">
        <v>0.91666666699999999</v>
      </c>
      <c r="O54">
        <v>5342</v>
      </c>
      <c r="P54">
        <v>5342</v>
      </c>
      <c r="Q54">
        <v>125</v>
      </c>
      <c r="R54">
        <v>42.735999999999997</v>
      </c>
      <c r="S54">
        <v>2238</v>
      </c>
      <c r="T54">
        <v>1.7885841E-2</v>
      </c>
      <c r="U54">
        <v>1.4451759999999999E-2</v>
      </c>
      <c r="V54">
        <v>0.75382882900000003</v>
      </c>
      <c r="W54">
        <v>1.6855617E-2</v>
      </c>
      <c r="X54">
        <v>0.53</v>
      </c>
      <c r="Y54">
        <v>0.53928553800000001</v>
      </c>
      <c r="Z54">
        <v>1</v>
      </c>
      <c r="AA54">
        <v>1</v>
      </c>
      <c r="AB54">
        <v>1</v>
      </c>
      <c r="AC54">
        <v>1</v>
      </c>
      <c r="AD54">
        <v>1</v>
      </c>
    </row>
    <row r="55" spans="1:30" x14ac:dyDescent="0.25">
      <c r="A55" t="s">
        <v>426</v>
      </c>
      <c r="B55" t="s">
        <v>135</v>
      </c>
      <c r="C55" t="s">
        <v>30</v>
      </c>
      <c r="D55" t="s">
        <v>31</v>
      </c>
      <c r="E55" t="s">
        <v>136</v>
      </c>
      <c r="F55">
        <v>40</v>
      </c>
      <c r="G55">
        <v>12</v>
      </c>
      <c r="H55">
        <v>0.30769230800000003</v>
      </c>
      <c r="I55">
        <v>4</v>
      </c>
      <c r="J55">
        <v>8.5500000000000007</v>
      </c>
      <c r="K55">
        <v>9.8000000000000007</v>
      </c>
      <c r="L55">
        <v>4</v>
      </c>
      <c r="M55">
        <v>0.25</v>
      </c>
      <c r="N55">
        <v>1</v>
      </c>
      <c r="O55">
        <v>2830</v>
      </c>
      <c r="P55">
        <v>2830</v>
      </c>
      <c r="Q55">
        <v>101</v>
      </c>
      <c r="R55">
        <v>28.01980198</v>
      </c>
      <c r="S55">
        <v>182</v>
      </c>
      <c r="T55">
        <v>9.4752770000000007E-3</v>
      </c>
      <c r="U55">
        <v>9.4752770000000007E-3</v>
      </c>
      <c r="V55">
        <v>0.62048466700000005</v>
      </c>
      <c r="W55">
        <v>9.4752770000000007E-3</v>
      </c>
      <c r="X55">
        <v>0.18666666700000001</v>
      </c>
      <c r="Y55">
        <v>0.36813738899999998</v>
      </c>
      <c r="Z55">
        <v>1</v>
      </c>
      <c r="AA55">
        <v>1</v>
      </c>
      <c r="AB55">
        <v>1</v>
      </c>
      <c r="AC55">
        <v>1</v>
      </c>
      <c r="AD55">
        <v>1</v>
      </c>
    </row>
    <row r="56" spans="1:30" x14ac:dyDescent="0.25">
      <c r="A56" t="s">
        <v>427</v>
      </c>
      <c r="B56" t="s">
        <v>137</v>
      </c>
      <c r="C56" t="s">
        <v>48</v>
      </c>
      <c r="D56" t="s">
        <v>30</v>
      </c>
      <c r="E56" t="s">
        <v>138</v>
      </c>
      <c r="F56">
        <v>36</v>
      </c>
      <c r="G56">
        <v>14</v>
      </c>
      <c r="H56">
        <v>0.27692307700000002</v>
      </c>
      <c r="I56">
        <v>1</v>
      </c>
      <c r="J56">
        <v>7.8</v>
      </c>
      <c r="K56">
        <v>7.8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0.58609667399999998</v>
      </c>
      <c r="W56">
        <v>0</v>
      </c>
      <c r="X56">
        <v>4.6666667000000002E-2</v>
      </c>
      <c r="Y56">
        <v>0.307048337</v>
      </c>
      <c r="Z56">
        <v>1</v>
      </c>
      <c r="AA56">
        <v>1</v>
      </c>
      <c r="AB56">
        <v>1</v>
      </c>
      <c r="AC56">
        <v>0</v>
      </c>
      <c r="AD56">
        <v>0</v>
      </c>
    </row>
    <row r="57" spans="1:30" x14ac:dyDescent="0.25">
      <c r="A57" t="s">
        <v>428</v>
      </c>
      <c r="B57" t="s">
        <v>139</v>
      </c>
      <c r="C57" t="s">
        <v>30</v>
      </c>
      <c r="D57" t="s">
        <v>140</v>
      </c>
      <c r="E57" t="s">
        <v>141</v>
      </c>
      <c r="F57">
        <v>5</v>
      </c>
      <c r="G57">
        <v>2</v>
      </c>
      <c r="H57">
        <v>3.8461538000000003E-2</v>
      </c>
      <c r="I57">
        <v>1</v>
      </c>
      <c r="J57">
        <v>7.8</v>
      </c>
      <c r="K57">
        <v>7.8</v>
      </c>
      <c r="L57">
        <v>1</v>
      </c>
      <c r="M57">
        <v>0</v>
      </c>
      <c r="N57">
        <v>1</v>
      </c>
      <c r="O57">
        <v>39560</v>
      </c>
      <c r="P57">
        <v>39560</v>
      </c>
      <c r="Q57">
        <v>101</v>
      </c>
      <c r="R57">
        <v>391.68316829999998</v>
      </c>
      <c r="S57">
        <v>1716</v>
      </c>
      <c r="T57">
        <v>0.13245299199999999</v>
      </c>
      <c r="U57">
        <v>0.13245299199999999</v>
      </c>
      <c r="V57">
        <v>0.466865904</v>
      </c>
      <c r="W57">
        <v>0.13245299199999999</v>
      </c>
      <c r="X57">
        <v>4.6666667000000002E-2</v>
      </c>
      <c r="Y57">
        <v>0.27392355099999999</v>
      </c>
      <c r="Z57">
        <v>1</v>
      </c>
      <c r="AA57">
        <v>1</v>
      </c>
      <c r="AB57">
        <v>1</v>
      </c>
      <c r="AC57">
        <v>0</v>
      </c>
      <c r="AD57">
        <v>0</v>
      </c>
    </row>
    <row r="58" spans="1:30" x14ac:dyDescent="0.25">
      <c r="A58" t="s">
        <v>429</v>
      </c>
      <c r="B58" t="s">
        <v>142</v>
      </c>
      <c r="C58" t="s">
        <v>83</v>
      </c>
      <c r="D58" t="s">
        <v>30</v>
      </c>
      <c r="E58" t="s">
        <v>143</v>
      </c>
      <c r="F58">
        <v>1</v>
      </c>
      <c r="G58">
        <v>1</v>
      </c>
      <c r="H58">
        <v>7.6923080000000001E-3</v>
      </c>
      <c r="I58">
        <v>1</v>
      </c>
      <c r="J58">
        <v>8.8000000000000007</v>
      </c>
      <c r="K58">
        <v>8.8000000000000007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0.47681912700000001</v>
      </c>
      <c r="W58">
        <v>0</v>
      </c>
      <c r="X58">
        <v>4.6666667000000002E-2</v>
      </c>
      <c r="Y58">
        <v>0.252409563</v>
      </c>
      <c r="Z58">
        <v>1</v>
      </c>
      <c r="AA58">
        <v>1</v>
      </c>
      <c r="AB58">
        <v>1</v>
      </c>
      <c r="AC58">
        <v>0</v>
      </c>
      <c r="AD58">
        <v>0</v>
      </c>
    </row>
    <row r="59" spans="1:30" x14ac:dyDescent="0.25">
      <c r="A59" t="s">
        <v>430</v>
      </c>
      <c r="B59" t="s">
        <v>144</v>
      </c>
      <c r="C59" t="s">
        <v>30</v>
      </c>
      <c r="D59" t="s">
        <v>145</v>
      </c>
      <c r="E59" t="s">
        <v>146</v>
      </c>
      <c r="F59">
        <v>31</v>
      </c>
      <c r="G59">
        <v>11</v>
      </c>
      <c r="H59">
        <v>0.238461538</v>
      </c>
      <c r="I59">
        <v>3</v>
      </c>
      <c r="J59">
        <v>7.6333333330000004</v>
      </c>
      <c r="K59">
        <v>7.8</v>
      </c>
      <c r="L59">
        <v>3</v>
      </c>
      <c r="M59">
        <v>0</v>
      </c>
      <c r="N59">
        <v>1</v>
      </c>
      <c r="O59">
        <v>5342</v>
      </c>
      <c r="P59">
        <v>5342</v>
      </c>
      <c r="Q59">
        <v>125</v>
      </c>
      <c r="R59">
        <v>42.735999999999997</v>
      </c>
      <c r="S59">
        <v>2238</v>
      </c>
      <c r="T59">
        <v>1.7885841E-2</v>
      </c>
      <c r="U59">
        <v>1.4451759999999999E-2</v>
      </c>
      <c r="V59">
        <v>0.56264293099999996</v>
      </c>
      <c r="W59">
        <v>1.6855617E-2</v>
      </c>
      <c r="X59">
        <v>0.14000000000000001</v>
      </c>
      <c r="Y59">
        <v>0.32669258899999998</v>
      </c>
      <c r="Z59">
        <v>1</v>
      </c>
      <c r="AA59">
        <v>1</v>
      </c>
      <c r="AB59">
        <v>1</v>
      </c>
      <c r="AC59">
        <v>0</v>
      </c>
      <c r="AD59">
        <v>0</v>
      </c>
    </row>
    <row r="60" spans="1:30" x14ac:dyDescent="0.25">
      <c r="A60" t="s">
        <v>431</v>
      </c>
      <c r="B60" t="s">
        <v>147</v>
      </c>
      <c r="C60" t="s">
        <v>36</v>
      </c>
      <c r="D60" t="s">
        <v>148</v>
      </c>
      <c r="E60" t="s">
        <v>149</v>
      </c>
      <c r="F60">
        <v>50</v>
      </c>
      <c r="G60">
        <v>13</v>
      </c>
      <c r="H60">
        <v>0.38461538499999998</v>
      </c>
      <c r="I60">
        <v>5</v>
      </c>
      <c r="J60">
        <v>8.6</v>
      </c>
      <c r="K60">
        <v>9.8000000000000007</v>
      </c>
      <c r="L60">
        <v>4</v>
      </c>
      <c r="M60">
        <v>0.4</v>
      </c>
      <c r="N60">
        <v>0.8</v>
      </c>
      <c r="O60">
        <v>2830</v>
      </c>
      <c r="P60">
        <v>2830</v>
      </c>
      <c r="Q60">
        <v>101</v>
      </c>
      <c r="R60">
        <v>28.01980198</v>
      </c>
      <c r="S60">
        <v>182</v>
      </c>
      <c r="T60">
        <v>9.4752770000000007E-3</v>
      </c>
      <c r="U60">
        <v>9.4752770000000007E-3</v>
      </c>
      <c r="V60">
        <v>0.61021309800000001</v>
      </c>
      <c r="W60">
        <v>9.4752770000000007E-3</v>
      </c>
      <c r="X60">
        <v>0.203333333</v>
      </c>
      <c r="Y60">
        <v>0.36800160399999998</v>
      </c>
      <c r="Z60">
        <v>1</v>
      </c>
      <c r="AA60">
        <v>1</v>
      </c>
      <c r="AB60">
        <v>1</v>
      </c>
      <c r="AC60">
        <v>1</v>
      </c>
      <c r="AD60">
        <v>1</v>
      </c>
    </row>
    <row r="61" spans="1:30" x14ac:dyDescent="0.25">
      <c r="A61" t="s">
        <v>432</v>
      </c>
      <c r="B61" t="s">
        <v>150</v>
      </c>
      <c r="C61" t="s">
        <v>30</v>
      </c>
      <c r="D61" t="s">
        <v>31</v>
      </c>
      <c r="E61" t="s">
        <v>117</v>
      </c>
      <c r="F61">
        <v>9</v>
      </c>
      <c r="G61">
        <v>4</v>
      </c>
      <c r="H61">
        <v>6.9230768999999998E-2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2830</v>
      </c>
      <c r="P61">
        <v>2830</v>
      </c>
      <c r="Q61">
        <v>101</v>
      </c>
      <c r="R61">
        <v>28.01980198</v>
      </c>
      <c r="S61">
        <v>182</v>
      </c>
      <c r="T61">
        <v>9.4752770000000007E-3</v>
      </c>
      <c r="U61">
        <v>9.4752770000000007E-3</v>
      </c>
      <c r="V61">
        <v>3.4615384999999999E-2</v>
      </c>
      <c r="W61">
        <v>9.4752770000000007E-3</v>
      </c>
      <c r="X61">
        <v>0</v>
      </c>
      <c r="Y61">
        <v>1.9202747999999999E-2</v>
      </c>
      <c r="Z61">
        <v>1</v>
      </c>
      <c r="AA61">
        <v>1</v>
      </c>
      <c r="AB61">
        <v>0</v>
      </c>
      <c r="AC61">
        <v>0</v>
      </c>
      <c r="AD61">
        <v>1</v>
      </c>
    </row>
    <row r="62" spans="1:30" x14ac:dyDescent="0.25">
      <c r="A62" t="s">
        <v>433</v>
      </c>
      <c r="B62" t="s">
        <v>151</v>
      </c>
      <c r="C62" t="s">
        <v>36</v>
      </c>
      <c r="D62" t="s">
        <v>152</v>
      </c>
      <c r="E62" t="s">
        <v>153</v>
      </c>
      <c r="F62">
        <v>29</v>
      </c>
      <c r="G62">
        <v>10</v>
      </c>
      <c r="H62">
        <v>0.22307692300000001</v>
      </c>
      <c r="I62">
        <v>7</v>
      </c>
      <c r="J62">
        <v>7.6857142859999996</v>
      </c>
      <c r="K62">
        <v>9.8000000000000007</v>
      </c>
      <c r="L62">
        <v>6</v>
      </c>
      <c r="M62">
        <v>0.14285714299999999</v>
      </c>
      <c r="N62">
        <v>0.85714285700000004</v>
      </c>
      <c r="O62">
        <v>39560</v>
      </c>
      <c r="P62">
        <v>39560</v>
      </c>
      <c r="Q62">
        <v>197</v>
      </c>
      <c r="R62">
        <v>391.68316829999998</v>
      </c>
      <c r="S62">
        <v>1716</v>
      </c>
      <c r="T62">
        <v>0.13245299199999999</v>
      </c>
      <c r="U62">
        <v>0.13245299199999999</v>
      </c>
      <c r="V62">
        <v>0.52056355799999998</v>
      </c>
      <c r="W62">
        <v>0.13245299199999999</v>
      </c>
      <c r="X62">
        <v>0.296666667</v>
      </c>
      <c r="Y62">
        <v>0.37577237699999999</v>
      </c>
      <c r="Z62">
        <v>1</v>
      </c>
      <c r="AA62">
        <v>1</v>
      </c>
      <c r="AB62">
        <v>1</v>
      </c>
      <c r="AC62">
        <v>1</v>
      </c>
      <c r="AD62">
        <v>0</v>
      </c>
    </row>
    <row r="63" spans="1:30" x14ac:dyDescent="0.25">
      <c r="A63" t="s">
        <v>434</v>
      </c>
      <c r="B63" t="s">
        <v>154</v>
      </c>
      <c r="C63" t="s">
        <v>30</v>
      </c>
      <c r="D63" t="s">
        <v>30</v>
      </c>
      <c r="E63" t="s">
        <v>59</v>
      </c>
      <c r="F63">
        <v>11</v>
      </c>
      <c r="G63">
        <v>7</v>
      </c>
      <c r="H63">
        <v>8.4615385000000001E-2</v>
      </c>
      <c r="I63">
        <v>1</v>
      </c>
      <c r="J63">
        <v>7.8</v>
      </c>
      <c r="K63">
        <v>7.8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0.48994282700000003</v>
      </c>
      <c r="W63">
        <v>0</v>
      </c>
      <c r="X63">
        <v>4.6666667000000002E-2</v>
      </c>
      <c r="Y63">
        <v>0.25897141400000001</v>
      </c>
      <c r="Z63">
        <v>1</v>
      </c>
      <c r="AA63">
        <v>1</v>
      </c>
      <c r="AB63">
        <v>1</v>
      </c>
      <c r="AC63">
        <v>0</v>
      </c>
      <c r="AD63">
        <v>1</v>
      </c>
    </row>
    <row r="64" spans="1:30" x14ac:dyDescent="0.25">
      <c r="A64" t="s">
        <v>435</v>
      </c>
      <c r="B64" t="s">
        <v>155</v>
      </c>
      <c r="C64" t="s">
        <v>30</v>
      </c>
      <c r="D64" t="s">
        <v>156</v>
      </c>
      <c r="E64" t="s">
        <v>157</v>
      </c>
      <c r="F64">
        <v>68</v>
      </c>
      <c r="G64">
        <v>14</v>
      </c>
      <c r="H64">
        <v>0.52307692299999997</v>
      </c>
      <c r="I64">
        <v>8</v>
      </c>
      <c r="J64">
        <v>8.5250000000000004</v>
      </c>
      <c r="K64">
        <v>10</v>
      </c>
      <c r="L64">
        <v>6</v>
      </c>
      <c r="M64">
        <v>0.375</v>
      </c>
      <c r="N64">
        <v>0.75</v>
      </c>
      <c r="O64">
        <v>5342</v>
      </c>
      <c r="P64">
        <v>5342</v>
      </c>
      <c r="Q64">
        <v>125</v>
      </c>
      <c r="R64">
        <v>42.735999999999997</v>
      </c>
      <c r="S64">
        <v>2238</v>
      </c>
      <c r="T64">
        <v>1.7885841E-2</v>
      </c>
      <c r="U64">
        <v>1.4451759999999999E-2</v>
      </c>
      <c r="V64">
        <v>0.66504352899999997</v>
      </c>
      <c r="W64">
        <v>1.6855617E-2</v>
      </c>
      <c r="X64">
        <v>0.31333333299999999</v>
      </c>
      <c r="Y64">
        <v>0.42989288799999997</v>
      </c>
      <c r="Z64">
        <v>1</v>
      </c>
      <c r="AA64">
        <v>1</v>
      </c>
      <c r="AB64">
        <v>1</v>
      </c>
      <c r="AC64">
        <v>1</v>
      </c>
      <c r="AD64">
        <v>1</v>
      </c>
    </row>
    <row r="65" spans="1:30" x14ac:dyDescent="0.25">
      <c r="A65" t="s">
        <v>436</v>
      </c>
      <c r="B65" t="s">
        <v>158</v>
      </c>
      <c r="C65" t="s">
        <v>36</v>
      </c>
      <c r="D65" t="s">
        <v>30</v>
      </c>
      <c r="E65" t="s">
        <v>34</v>
      </c>
      <c r="F65">
        <v>12</v>
      </c>
      <c r="G65">
        <v>8</v>
      </c>
      <c r="H65">
        <v>9.2307691999999997E-2</v>
      </c>
      <c r="I65">
        <v>1</v>
      </c>
      <c r="J65">
        <v>8.8000000000000007</v>
      </c>
      <c r="K65">
        <v>8.8000000000000007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0.26912681900000002</v>
      </c>
      <c r="W65">
        <v>0</v>
      </c>
      <c r="X65">
        <v>1.6666667E-2</v>
      </c>
      <c r="Y65">
        <v>0.13956341</v>
      </c>
      <c r="Z65">
        <v>1</v>
      </c>
      <c r="AA65">
        <v>0</v>
      </c>
      <c r="AB65">
        <v>1</v>
      </c>
      <c r="AC65">
        <v>0</v>
      </c>
      <c r="AD65">
        <v>0</v>
      </c>
    </row>
    <row r="66" spans="1:30" x14ac:dyDescent="0.25">
      <c r="A66" t="s">
        <v>437</v>
      </c>
      <c r="B66" t="s">
        <v>159</v>
      </c>
      <c r="C66" t="s">
        <v>30</v>
      </c>
      <c r="D66" t="s">
        <v>70</v>
      </c>
      <c r="E66" t="s">
        <v>160</v>
      </c>
      <c r="F66">
        <v>2</v>
      </c>
      <c r="G66">
        <v>2</v>
      </c>
      <c r="H66">
        <v>1.5384615000000001E-2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1077</v>
      </c>
      <c r="P66">
        <v>1077</v>
      </c>
      <c r="Q66">
        <v>77</v>
      </c>
      <c r="R66">
        <v>13.98701299</v>
      </c>
      <c r="S66">
        <v>60</v>
      </c>
      <c r="T66">
        <v>3.6059619999999999E-3</v>
      </c>
      <c r="U66">
        <v>4.7298990000000001E-3</v>
      </c>
      <c r="V66">
        <v>7.6923080000000001E-3</v>
      </c>
      <c r="W66">
        <v>3.9431429999999996E-3</v>
      </c>
      <c r="X66">
        <v>0</v>
      </c>
      <c r="Y66">
        <v>4.634783E-3</v>
      </c>
      <c r="Z66">
        <v>1</v>
      </c>
      <c r="AA66">
        <v>1</v>
      </c>
      <c r="AB66">
        <v>0</v>
      </c>
      <c r="AC66">
        <v>0</v>
      </c>
      <c r="AD66">
        <v>0</v>
      </c>
    </row>
    <row r="67" spans="1:30" x14ac:dyDescent="0.25">
      <c r="A67" t="s">
        <v>438</v>
      </c>
      <c r="B67" t="s">
        <v>161</v>
      </c>
      <c r="C67" t="s">
        <v>30</v>
      </c>
      <c r="D67" t="s">
        <v>31</v>
      </c>
      <c r="E67" t="s">
        <v>162</v>
      </c>
      <c r="F67">
        <v>21</v>
      </c>
      <c r="G67">
        <v>9</v>
      </c>
      <c r="H67">
        <v>0.16153846199999999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2830</v>
      </c>
      <c r="P67">
        <v>2830</v>
      </c>
      <c r="Q67">
        <v>101</v>
      </c>
      <c r="R67">
        <v>28.01980198</v>
      </c>
      <c r="S67">
        <v>182</v>
      </c>
      <c r="T67">
        <v>9.4752770000000007E-3</v>
      </c>
      <c r="U67">
        <v>9.4752770000000007E-3</v>
      </c>
      <c r="V67">
        <v>8.0769230999999997E-2</v>
      </c>
      <c r="W67">
        <v>9.4752770000000007E-3</v>
      </c>
      <c r="X67">
        <v>0</v>
      </c>
      <c r="Y67">
        <v>4.2279670999999998E-2</v>
      </c>
      <c r="Z67">
        <v>1</v>
      </c>
      <c r="AA67">
        <v>1</v>
      </c>
      <c r="AB67">
        <v>0</v>
      </c>
      <c r="AC67">
        <v>0</v>
      </c>
      <c r="AD67">
        <v>1</v>
      </c>
    </row>
    <row r="68" spans="1:30" x14ac:dyDescent="0.25">
      <c r="A68" t="s">
        <v>439</v>
      </c>
      <c r="B68" t="s">
        <v>163</v>
      </c>
      <c r="C68" t="s">
        <v>30</v>
      </c>
      <c r="D68" t="s">
        <v>30</v>
      </c>
      <c r="E68" t="s">
        <v>34</v>
      </c>
      <c r="F68">
        <v>9</v>
      </c>
      <c r="G68">
        <v>6</v>
      </c>
      <c r="H68">
        <v>6.9230768999999998E-2</v>
      </c>
      <c r="I68">
        <v>1</v>
      </c>
      <c r="J68">
        <v>8.8000000000000007</v>
      </c>
      <c r="K68">
        <v>8.8000000000000007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0.50758835800000002</v>
      </c>
      <c r="W68">
        <v>0</v>
      </c>
      <c r="X68">
        <v>4.6666667000000002E-2</v>
      </c>
      <c r="Y68">
        <v>0.26779417900000002</v>
      </c>
      <c r="Z68">
        <v>1</v>
      </c>
      <c r="AA68">
        <v>0</v>
      </c>
      <c r="AB68">
        <v>1</v>
      </c>
      <c r="AC68">
        <v>0</v>
      </c>
      <c r="AD68">
        <v>0</v>
      </c>
    </row>
    <row r="69" spans="1:30" x14ac:dyDescent="0.25">
      <c r="A69" t="s">
        <v>440</v>
      </c>
      <c r="B69" t="s">
        <v>164</v>
      </c>
      <c r="C69" t="s">
        <v>30</v>
      </c>
      <c r="D69" t="s">
        <v>30</v>
      </c>
      <c r="E69" t="s">
        <v>165</v>
      </c>
      <c r="F69">
        <v>4</v>
      </c>
      <c r="G69">
        <v>4</v>
      </c>
      <c r="H69">
        <v>3.0769231000000001E-2</v>
      </c>
      <c r="I69">
        <v>2</v>
      </c>
      <c r="J69">
        <v>9.1999999999999993</v>
      </c>
      <c r="K69">
        <v>10</v>
      </c>
      <c r="L69">
        <v>2</v>
      </c>
      <c r="M69">
        <v>0.5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0.49849272300000003</v>
      </c>
      <c r="W69">
        <v>0</v>
      </c>
      <c r="X69">
        <v>9.3333333000000004E-2</v>
      </c>
      <c r="Y69">
        <v>0.27724636200000002</v>
      </c>
      <c r="Z69">
        <v>1</v>
      </c>
      <c r="AA69">
        <v>1</v>
      </c>
      <c r="AB69">
        <v>1</v>
      </c>
      <c r="AC69">
        <v>0</v>
      </c>
      <c r="AD69">
        <v>1</v>
      </c>
    </row>
    <row r="70" spans="1:30" x14ac:dyDescent="0.25">
      <c r="A70" t="s">
        <v>441</v>
      </c>
      <c r="B70" t="s">
        <v>166</v>
      </c>
      <c r="C70" t="s">
        <v>30</v>
      </c>
      <c r="D70" t="s">
        <v>37</v>
      </c>
      <c r="E70" t="s">
        <v>59</v>
      </c>
      <c r="F70">
        <v>17</v>
      </c>
      <c r="G70">
        <v>9</v>
      </c>
      <c r="H70">
        <v>0.13076923100000001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5342</v>
      </c>
      <c r="P70">
        <v>5342</v>
      </c>
      <c r="Q70">
        <v>125</v>
      </c>
      <c r="R70">
        <v>42.735999999999997</v>
      </c>
      <c r="S70">
        <v>2238</v>
      </c>
      <c r="T70">
        <v>1.7885841E-2</v>
      </c>
      <c r="U70">
        <v>1.4451759999999999E-2</v>
      </c>
      <c r="V70">
        <v>6.5384614999999993E-2</v>
      </c>
      <c r="W70">
        <v>1.6855617E-2</v>
      </c>
      <c r="X70">
        <v>0</v>
      </c>
      <c r="Y70">
        <v>3.6063431E-2</v>
      </c>
      <c r="Z70">
        <v>1</v>
      </c>
      <c r="AA70">
        <v>1</v>
      </c>
      <c r="AB70">
        <v>0</v>
      </c>
      <c r="AC70">
        <v>0</v>
      </c>
      <c r="AD70">
        <v>1</v>
      </c>
    </row>
    <row r="71" spans="1:30" x14ac:dyDescent="0.25">
      <c r="A71" t="s">
        <v>442</v>
      </c>
      <c r="B71" t="s">
        <v>167</v>
      </c>
      <c r="C71" t="s">
        <v>48</v>
      </c>
      <c r="D71" t="s">
        <v>168</v>
      </c>
      <c r="E71" t="s">
        <v>59</v>
      </c>
      <c r="F71">
        <v>16</v>
      </c>
      <c r="G71">
        <v>8</v>
      </c>
      <c r="H71">
        <v>0.123076923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39560</v>
      </c>
      <c r="P71">
        <v>39560</v>
      </c>
      <c r="Q71">
        <v>197</v>
      </c>
      <c r="R71">
        <v>391.68316829999998</v>
      </c>
      <c r="S71">
        <v>1716</v>
      </c>
      <c r="T71">
        <v>0.13245299199999999</v>
      </c>
      <c r="U71">
        <v>0.13245299199999999</v>
      </c>
      <c r="V71">
        <v>6.1538462000000002E-2</v>
      </c>
      <c r="W71">
        <v>0.13245299199999999</v>
      </c>
      <c r="X71">
        <v>0</v>
      </c>
      <c r="Y71">
        <v>5.7259828999999998E-2</v>
      </c>
      <c r="Z71">
        <v>1</v>
      </c>
      <c r="AA71">
        <v>1</v>
      </c>
      <c r="AB71">
        <v>0</v>
      </c>
      <c r="AC71">
        <v>0</v>
      </c>
      <c r="AD71">
        <v>1</v>
      </c>
    </row>
    <row r="72" spans="1:30" x14ac:dyDescent="0.25">
      <c r="A72" t="s">
        <v>443</v>
      </c>
      <c r="B72" t="s">
        <v>169</v>
      </c>
      <c r="C72" t="s">
        <v>30</v>
      </c>
      <c r="D72" t="s">
        <v>30</v>
      </c>
      <c r="E72" t="s">
        <v>170</v>
      </c>
      <c r="F72">
        <v>7</v>
      </c>
      <c r="G72">
        <v>5</v>
      </c>
      <c r="H72">
        <v>5.3846154E-2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2.6923077E-2</v>
      </c>
      <c r="W72">
        <v>0</v>
      </c>
      <c r="X72">
        <v>0</v>
      </c>
      <c r="Y72">
        <v>1.3461538E-2</v>
      </c>
      <c r="Z72">
        <v>1</v>
      </c>
      <c r="AA72">
        <v>1</v>
      </c>
      <c r="AB72">
        <v>0</v>
      </c>
      <c r="AC72">
        <v>0</v>
      </c>
      <c r="AD72">
        <v>1</v>
      </c>
    </row>
    <row r="73" spans="1:30" x14ac:dyDescent="0.25">
      <c r="A73" t="s">
        <v>444</v>
      </c>
      <c r="B73" t="s">
        <v>171</v>
      </c>
      <c r="C73" t="s">
        <v>48</v>
      </c>
      <c r="D73" t="s">
        <v>172</v>
      </c>
      <c r="E73" t="s">
        <v>173</v>
      </c>
      <c r="F73">
        <v>34</v>
      </c>
      <c r="G73">
        <v>9</v>
      </c>
      <c r="H73">
        <v>0.26153846200000003</v>
      </c>
      <c r="I73">
        <v>9</v>
      </c>
      <c r="J73">
        <v>8.4111111110000003</v>
      </c>
      <c r="K73">
        <v>10</v>
      </c>
      <c r="L73">
        <v>9</v>
      </c>
      <c r="M73">
        <v>0.222222222</v>
      </c>
      <c r="N73">
        <v>1</v>
      </c>
      <c r="O73">
        <v>217</v>
      </c>
      <c r="P73">
        <v>217</v>
      </c>
      <c r="Q73">
        <v>56</v>
      </c>
      <c r="R73">
        <v>3.875</v>
      </c>
      <c r="S73">
        <v>25</v>
      </c>
      <c r="T73">
        <v>7.2654999999999996E-4</v>
      </c>
      <c r="U73">
        <v>1.3103839999999999E-3</v>
      </c>
      <c r="V73">
        <v>0.59388859999999999</v>
      </c>
      <c r="W73">
        <v>9.0169999999999996E-4</v>
      </c>
      <c r="X73">
        <v>0.42</v>
      </c>
      <c r="Y73">
        <v>0.42312464</v>
      </c>
      <c r="Z73">
        <v>1</v>
      </c>
      <c r="AA73">
        <v>1</v>
      </c>
      <c r="AB73">
        <v>1</v>
      </c>
      <c r="AC73">
        <v>1</v>
      </c>
      <c r="AD73">
        <v>0</v>
      </c>
    </row>
    <row r="74" spans="1:30" x14ac:dyDescent="0.25">
      <c r="A74" t="s">
        <v>445</v>
      </c>
      <c r="B74" t="s">
        <v>174</v>
      </c>
      <c r="C74" t="s">
        <v>30</v>
      </c>
      <c r="D74" t="s">
        <v>175</v>
      </c>
      <c r="E74" t="s">
        <v>176</v>
      </c>
      <c r="F74">
        <v>40</v>
      </c>
      <c r="G74">
        <v>10</v>
      </c>
      <c r="H74">
        <v>0.30769230800000003</v>
      </c>
      <c r="I74">
        <v>3</v>
      </c>
      <c r="J74">
        <v>8.1333333329999995</v>
      </c>
      <c r="K74">
        <v>8.8000000000000007</v>
      </c>
      <c r="L74">
        <v>3</v>
      </c>
      <c r="M74">
        <v>0</v>
      </c>
      <c r="N74">
        <v>1</v>
      </c>
      <c r="O74">
        <v>14299</v>
      </c>
      <c r="P74">
        <v>14299</v>
      </c>
      <c r="Q74">
        <v>125</v>
      </c>
      <c r="R74">
        <v>114.392</v>
      </c>
      <c r="S74">
        <v>714</v>
      </c>
      <c r="T74">
        <v>4.7875261000000002E-2</v>
      </c>
      <c r="U74">
        <v>3.8683211000000002E-2</v>
      </c>
      <c r="V74">
        <v>0.60992723500000001</v>
      </c>
      <c r="W74">
        <v>4.5117645999999997E-2</v>
      </c>
      <c r="X74">
        <v>0.14000000000000001</v>
      </c>
      <c r="Y74">
        <v>0.355987147</v>
      </c>
      <c r="Z74">
        <v>1</v>
      </c>
      <c r="AA74">
        <v>1</v>
      </c>
      <c r="AB74">
        <v>1</v>
      </c>
      <c r="AC74">
        <v>1</v>
      </c>
      <c r="AD74">
        <v>1</v>
      </c>
    </row>
    <row r="75" spans="1:30" x14ac:dyDescent="0.25">
      <c r="A75" t="s">
        <v>446</v>
      </c>
      <c r="B75" t="s">
        <v>177</v>
      </c>
      <c r="C75" t="s">
        <v>36</v>
      </c>
      <c r="D75" t="s">
        <v>178</v>
      </c>
      <c r="E75" t="s">
        <v>179</v>
      </c>
      <c r="F75">
        <v>56</v>
      </c>
      <c r="G75">
        <v>12</v>
      </c>
      <c r="H75">
        <v>0.43076923099999997</v>
      </c>
      <c r="I75">
        <v>3</v>
      </c>
      <c r="J75">
        <v>8.8000000000000007</v>
      </c>
      <c r="K75">
        <v>9.8000000000000007</v>
      </c>
      <c r="L75">
        <v>2</v>
      </c>
      <c r="M75">
        <v>0.33333333300000001</v>
      </c>
      <c r="N75">
        <v>0.66666666699999999</v>
      </c>
      <c r="O75">
        <v>15101</v>
      </c>
      <c r="P75">
        <v>15101</v>
      </c>
      <c r="Q75">
        <v>197</v>
      </c>
      <c r="R75">
        <v>76.654822339999996</v>
      </c>
      <c r="S75">
        <v>334</v>
      </c>
      <c r="T75">
        <v>5.0560480999999997E-2</v>
      </c>
      <c r="U75">
        <v>2.5921870999999999E-2</v>
      </c>
      <c r="V75">
        <v>0.60502425500000001</v>
      </c>
      <c r="W75">
        <v>4.3168897999999997E-2</v>
      </c>
      <c r="X75">
        <v>0.11</v>
      </c>
      <c r="Y75">
        <v>0.34414590699999997</v>
      </c>
      <c r="Z75">
        <v>1</v>
      </c>
      <c r="AA75">
        <v>1</v>
      </c>
      <c r="AB75">
        <v>1</v>
      </c>
      <c r="AC75">
        <v>0</v>
      </c>
      <c r="AD75">
        <v>0</v>
      </c>
    </row>
    <row r="76" spans="1:30" x14ac:dyDescent="0.25">
      <c r="A76" t="s">
        <v>447</v>
      </c>
      <c r="B76" t="s">
        <v>180</v>
      </c>
      <c r="C76" t="s">
        <v>30</v>
      </c>
      <c r="D76" t="s">
        <v>30</v>
      </c>
      <c r="E76" t="s">
        <v>181</v>
      </c>
      <c r="F76">
        <v>4</v>
      </c>
      <c r="G76">
        <v>2</v>
      </c>
      <c r="H76">
        <v>3.0769231000000001E-2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1.5384615000000001E-2</v>
      </c>
      <c r="W76">
        <v>0</v>
      </c>
      <c r="X76">
        <v>0</v>
      </c>
      <c r="Y76">
        <v>7.6923080000000001E-3</v>
      </c>
      <c r="Z76">
        <v>1</v>
      </c>
      <c r="AA76">
        <v>1</v>
      </c>
      <c r="AB76">
        <v>0</v>
      </c>
      <c r="AC76">
        <v>0</v>
      </c>
      <c r="AD76">
        <v>0</v>
      </c>
    </row>
    <row r="77" spans="1:30" x14ac:dyDescent="0.25">
      <c r="A77" t="s">
        <v>448</v>
      </c>
      <c r="B77" t="s">
        <v>182</v>
      </c>
      <c r="C77" t="s">
        <v>30</v>
      </c>
      <c r="D77" t="s">
        <v>30</v>
      </c>
      <c r="E77" t="s">
        <v>67</v>
      </c>
      <c r="F77">
        <v>6</v>
      </c>
      <c r="G77">
        <v>4</v>
      </c>
      <c r="H77">
        <v>4.6153845999999998E-2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2.3076922999999999E-2</v>
      </c>
      <c r="W77">
        <v>0</v>
      </c>
      <c r="X77">
        <v>0</v>
      </c>
      <c r="Y77">
        <v>1.1538461999999999E-2</v>
      </c>
      <c r="Z77">
        <v>1</v>
      </c>
      <c r="AA77">
        <v>1</v>
      </c>
      <c r="AB77">
        <v>0</v>
      </c>
      <c r="AC77">
        <v>0</v>
      </c>
      <c r="AD77">
        <v>1</v>
      </c>
    </row>
    <row r="78" spans="1:30" x14ac:dyDescent="0.25">
      <c r="A78" t="s">
        <v>449</v>
      </c>
      <c r="B78" t="s">
        <v>183</v>
      </c>
      <c r="C78" t="s">
        <v>30</v>
      </c>
      <c r="D78" t="s">
        <v>30</v>
      </c>
      <c r="E78" t="s">
        <v>184</v>
      </c>
      <c r="F78">
        <v>12</v>
      </c>
      <c r="G78">
        <v>8</v>
      </c>
      <c r="H78">
        <v>9.2307691999999997E-2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4.6153845999999998E-2</v>
      </c>
      <c r="W78">
        <v>0</v>
      </c>
      <c r="X78">
        <v>0</v>
      </c>
      <c r="Y78">
        <v>2.3076922999999999E-2</v>
      </c>
      <c r="Z78">
        <v>1</v>
      </c>
      <c r="AA78">
        <v>1</v>
      </c>
      <c r="AB78">
        <v>0</v>
      </c>
      <c r="AC78">
        <v>0</v>
      </c>
      <c r="AD78">
        <v>0</v>
      </c>
    </row>
    <row r="79" spans="1:30" x14ac:dyDescent="0.25">
      <c r="A79" t="s">
        <v>450</v>
      </c>
      <c r="B79" t="s">
        <v>185</v>
      </c>
      <c r="C79" t="s">
        <v>30</v>
      </c>
      <c r="D79" t="s">
        <v>37</v>
      </c>
      <c r="E79" t="s">
        <v>186</v>
      </c>
      <c r="F79">
        <v>53</v>
      </c>
      <c r="G79">
        <v>13</v>
      </c>
      <c r="H79">
        <v>0.407692308</v>
      </c>
      <c r="I79">
        <v>2</v>
      </c>
      <c r="J79">
        <v>9.8000000000000007</v>
      </c>
      <c r="K79">
        <v>9.8000000000000007</v>
      </c>
      <c r="L79">
        <v>1</v>
      </c>
      <c r="M79">
        <v>1</v>
      </c>
      <c r="N79">
        <v>0.5</v>
      </c>
      <c r="O79">
        <v>5342</v>
      </c>
      <c r="P79">
        <v>5342</v>
      </c>
      <c r="Q79">
        <v>125</v>
      </c>
      <c r="R79">
        <v>42.735999999999997</v>
      </c>
      <c r="S79">
        <v>2238</v>
      </c>
      <c r="T79">
        <v>1.7885841E-2</v>
      </c>
      <c r="U79">
        <v>1.4451759999999999E-2</v>
      </c>
      <c r="V79">
        <v>0.57715696500000002</v>
      </c>
      <c r="W79">
        <v>1.6855617E-2</v>
      </c>
      <c r="X79">
        <v>6.3333333000000006E-2</v>
      </c>
      <c r="Y79">
        <v>0.31094960599999999</v>
      </c>
      <c r="Z79">
        <v>1</v>
      </c>
      <c r="AA79">
        <v>1</v>
      </c>
      <c r="AB79">
        <v>1</v>
      </c>
      <c r="AC79">
        <v>0</v>
      </c>
      <c r="AD79">
        <v>1</v>
      </c>
    </row>
    <row r="80" spans="1:30" x14ac:dyDescent="0.25">
      <c r="A80" t="s">
        <v>451</v>
      </c>
      <c r="B80" t="s">
        <v>187</v>
      </c>
      <c r="C80" t="s">
        <v>30</v>
      </c>
      <c r="D80" t="s">
        <v>45</v>
      </c>
      <c r="E80" t="s">
        <v>188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39560</v>
      </c>
      <c r="P80">
        <v>39560</v>
      </c>
      <c r="Q80">
        <v>101</v>
      </c>
      <c r="R80">
        <v>391.68316829999998</v>
      </c>
      <c r="S80">
        <v>1716</v>
      </c>
      <c r="T80">
        <v>0.13245299199999999</v>
      </c>
      <c r="U80">
        <v>0.13245299199999999</v>
      </c>
      <c r="V80">
        <v>0</v>
      </c>
      <c r="W80">
        <v>0.13245299199999999</v>
      </c>
      <c r="X80">
        <v>0</v>
      </c>
      <c r="Y80">
        <v>2.6490598000000001E-2</v>
      </c>
      <c r="Z80">
        <v>1</v>
      </c>
      <c r="AA80">
        <v>1</v>
      </c>
      <c r="AB80">
        <v>0</v>
      </c>
      <c r="AC80">
        <v>0</v>
      </c>
      <c r="AD80">
        <v>0</v>
      </c>
    </row>
    <row r="81" spans="1:30" x14ac:dyDescent="0.25">
      <c r="A81" t="s">
        <v>452</v>
      </c>
      <c r="B81" t="s">
        <v>189</v>
      </c>
      <c r="C81" t="s">
        <v>36</v>
      </c>
      <c r="D81" t="s">
        <v>190</v>
      </c>
      <c r="E81" t="s">
        <v>67</v>
      </c>
      <c r="F81">
        <v>7</v>
      </c>
      <c r="G81">
        <v>4</v>
      </c>
      <c r="H81">
        <v>5.3846154E-2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26749</v>
      </c>
      <c r="P81">
        <v>26749</v>
      </c>
      <c r="Q81">
        <v>197</v>
      </c>
      <c r="R81">
        <v>135.7817259</v>
      </c>
      <c r="S81">
        <v>392</v>
      </c>
      <c r="T81">
        <v>8.9559785000000003E-2</v>
      </c>
      <c r="U81">
        <v>4.5916437999999997E-2</v>
      </c>
      <c r="V81">
        <v>2.6923077E-2</v>
      </c>
      <c r="W81">
        <v>7.6466780999999998E-2</v>
      </c>
      <c r="X81">
        <v>0</v>
      </c>
      <c r="Y81">
        <v>2.8754894999999999E-2</v>
      </c>
      <c r="Z81">
        <v>1</v>
      </c>
      <c r="AA81">
        <v>1</v>
      </c>
      <c r="AB81">
        <v>0</v>
      </c>
      <c r="AC81">
        <v>0</v>
      </c>
      <c r="AD81">
        <v>1</v>
      </c>
    </row>
    <row r="82" spans="1:30" x14ac:dyDescent="0.25">
      <c r="A82" t="s">
        <v>453</v>
      </c>
      <c r="B82" t="s">
        <v>191</v>
      </c>
      <c r="C82" t="s">
        <v>30</v>
      </c>
      <c r="D82" t="s">
        <v>192</v>
      </c>
      <c r="E82" t="s">
        <v>193</v>
      </c>
      <c r="F82">
        <v>26</v>
      </c>
      <c r="G82">
        <v>8</v>
      </c>
      <c r="H82">
        <v>0.2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69066</v>
      </c>
      <c r="P82">
        <v>69066</v>
      </c>
      <c r="Q82">
        <v>125</v>
      </c>
      <c r="R82">
        <v>552.52800000000002</v>
      </c>
      <c r="S82">
        <v>2098</v>
      </c>
      <c r="T82">
        <v>0.231243639</v>
      </c>
      <c r="U82">
        <v>0.18684486</v>
      </c>
      <c r="V82">
        <v>0.1</v>
      </c>
      <c r="W82">
        <v>0.217924005</v>
      </c>
      <c r="X82">
        <v>0</v>
      </c>
      <c r="Y82">
        <v>9.3584800999999995E-2</v>
      </c>
      <c r="Z82">
        <v>1</v>
      </c>
      <c r="AA82">
        <v>1</v>
      </c>
      <c r="AB82">
        <v>0</v>
      </c>
      <c r="AC82">
        <v>0</v>
      </c>
      <c r="AD82">
        <v>1</v>
      </c>
    </row>
    <row r="83" spans="1:30" x14ac:dyDescent="0.25">
      <c r="A83" t="s">
        <v>454</v>
      </c>
      <c r="B83" t="s">
        <v>194</v>
      </c>
      <c r="C83" t="s">
        <v>48</v>
      </c>
      <c r="D83" t="s">
        <v>195</v>
      </c>
      <c r="E83" t="s">
        <v>196</v>
      </c>
      <c r="F83">
        <v>28</v>
      </c>
      <c r="G83">
        <v>12</v>
      </c>
      <c r="H83">
        <v>0.215384615</v>
      </c>
      <c r="I83">
        <v>1</v>
      </c>
      <c r="J83">
        <v>8.8000000000000007</v>
      </c>
      <c r="K83">
        <v>8.8000000000000007</v>
      </c>
      <c r="L83">
        <v>0</v>
      </c>
      <c r="M83">
        <v>0</v>
      </c>
      <c r="N83">
        <v>0</v>
      </c>
      <c r="O83">
        <v>298672</v>
      </c>
      <c r="P83">
        <v>298672</v>
      </c>
      <c r="Q83">
        <v>101</v>
      </c>
      <c r="R83">
        <v>2957.1485149999999</v>
      </c>
      <c r="S83">
        <v>7824</v>
      </c>
      <c r="T83">
        <v>1</v>
      </c>
      <c r="U83">
        <v>1</v>
      </c>
      <c r="V83">
        <v>0.33066528099999998</v>
      </c>
      <c r="W83">
        <v>1</v>
      </c>
      <c r="X83">
        <v>1.6666667E-2</v>
      </c>
      <c r="Y83">
        <v>0.37033263999999999</v>
      </c>
      <c r="Z83">
        <v>1</v>
      </c>
      <c r="AA83">
        <v>1</v>
      </c>
      <c r="AB83">
        <v>1</v>
      </c>
      <c r="AC83">
        <v>1</v>
      </c>
      <c r="AD83">
        <v>0</v>
      </c>
    </row>
    <row r="84" spans="1:30" x14ac:dyDescent="0.25">
      <c r="A84" t="s">
        <v>455</v>
      </c>
      <c r="B84" t="s">
        <v>197</v>
      </c>
      <c r="C84" t="s">
        <v>48</v>
      </c>
      <c r="D84" t="s">
        <v>30</v>
      </c>
      <c r="E84" t="s">
        <v>198</v>
      </c>
      <c r="F84">
        <v>34</v>
      </c>
      <c r="G84">
        <v>11</v>
      </c>
      <c r="H84">
        <v>0.26153846200000003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0.13076923100000001</v>
      </c>
      <c r="W84">
        <v>0</v>
      </c>
      <c r="X84">
        <v>0</v>
      </c>
      <c r="Y84">
        <v>6.5384614999999993E-2</v>
      </c>
      <c r="Z84">
        <v>1</v>
      </c>
      <c r="AA84">
        <v>1</v>
      </c>
      <c r="AB84">
        <v>0</v>
      </c>
      <c r="AC84">
        <v>0</v>
      </c>
      <c r="AD84">
        <v>0</v>
      </c>
    </row>
    <row r="85" spans="1:30" x14ac:dyDescent="0.25">
      <c r="A85" t="s">
        <v>456</v>
      </c>
      <c r="B85" t="s">
        <v>199</v>
      </c>
      <c r="C85" t="s">
        <v>36</v>
      </c>
      <c r="D85" t="s">
        <v>200</v>
      </c>
      <c r="E85" t="s">
        <v>201</v>
      </c>
      <c r="F85">
        <v>31</v>
      </c>
      <c r="G85">
        <v>13</v>
      </c>
      <c r="H85">
        <v>0.238461538</v>
      </c>
      <c r="I85">
        <v>3</v>
      </c>
      <c r="J85">
        <v>8.1999999999999993</v>
      </c>
      <c r="K85">
        <v>9.8000000000000007</v>
      </c>
      <c r="L85">
        <v>1</v>
      </c>
      <c r="M85">
        <v>0.66666666699999999</v>
      </c>
      <c r="N85">
        <v>0.33333333300000001</v>
      </c>
      <c r="O85">
        <v>64698</v>
      </c>
      <c r="P85">
        <v>64698</v>
      </c>
      <c r="Q85">
        <v>353</v>
      </c>
      <c r="R85">
        <v>572.54867260000003</v>
      </c>
      <c r="S85">
        <v>1716</v>
      </c>
      <c r="T85">
        <v>0.2166189</v>
      </c>
      <c r="U85">
        <v>0.193615123</v>
      </c>
      <c r="V85">
        <v>0.41033437299999997</v>
      </c>
      <c r="W85">
        <v>0.209717767</v>
      </c>
      <c r="X85">
        <v>0.08</v>
      </c>
      <c r="Y85">
        <v>0.27111074000000002</v>
      </c>
      <c r="Z85">
        <v>1</v>
      </c>
      <c r="AA85">
        <v>1</v>
      </c>
      <c r="AB85">
        <v>1</v>
      </c>
      <c r="AC85">
        <v>0</v>
      </c>
      <c r="AD85">
        <v>1</v>
      </c>
    </row>
    <row r="86" spans="1:30" x14ac:dyDescent="0.25">
      <c r="A86" t="s">
        <v>457</v>
      </c>
      <c r="B86" t="s">
        <v>202</v>
      </c>
      <c r="C86" t="s">
        <v>36</v>
      </c>
      <c r="D86" t="s">
        <v>203</v>
      </c>
      <c r="E86" t="s">
        <v>204</v>
      </c>
      <c r="F86">
        <v>130</v>
      </c>
      <c r="G86">
        <v>15</v>
      </c>
      <c r="H86">
        <v>1</v>
      </c>
      <c r="I86">
        <v>6</v>
      </c>
      <c r="J86">
        <v>9.1</v>
      </c>
      <c r="K86">
        <v>10</v>
      </c>
      <c r="L86">
        <v>5</v>
      </c>
      <c r="M86">
        <v>0.5</v>
      </c>
      <c r="N86">
        <v>0.83333333300000001</v>
      </c>
      <c r="O86">
        <v>39560</v>
      </c>
      <c r="P86">
        <v>39560</v>
      </c>
      <c r="Q86">
        <v>101</v>
      </c>
      <c r="R86">
        <v>391.68316829999998</v>
      </c>
      <c r="S86">
        <v>1716</v>
      </c>
      <c r="T86">
        <v>0.13245299199999999</v>
      </c>
      <c r="U86">
        <v>0.13245299199999999</v>
      </c>
      <c r="V86">
        <v>0.93890765799999998</v>
      </c>
      <c r="W86">
        <v>0.13245299199999999</v>
      </c>
      <c r="X86">
        <v>0.25</v>
      </c>
      <c r="Y86">
        <v>0.57094442700000003</v>
      </c>
      <c r="Z86">
        <v>1</v>
      </c>
      <c r="AA86">
        <v>1</v>
      </c>
      <c r="AB86">
        <v>1</v>
      </c>
      <c r="AC86">
        <v>1</v>
      </c>
      <c r="AD86">
        <v>1</v>
      </c>
    </row>
    <row r="87" spans="1:30" x14ac:dyDescent="0.25">
      <c r="A87" t="s">
        <v>458</v>
      </c>
      <c r="B87" t="s">
        <v>205</v>
      </c>
      <c r="C87" t="s">
        <v>30</v>
      </c>
      <c r="D87" t="s">
        <v>206</v>
      </c>
      <c r="E87" t="s">
        <v>207</v>
      </c>
      <c r="F87">
        <v>11</v>
      </c>
      <c r="G87">
        <v>5</v>
      </c>
      <c r="H87">
        <v>8.4615385000000001E-2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39560</v>
      </c>
      <c r="P87">
        <v>39560</v>
      </c>
      <c r="Q87">
        <v>101</v>
      </c>
      <c r="R87">
        <v>391.68316829999998</v>
      </c>
      <c r="S87">
        <v>1716</v>
      </c>
      <c r="T87">
        <v>0.13245299199999999</v>
      </c>
      <c r="U87">
        <v>0.13245299199999999</v>
      </c>
      <c r="V87">
        <v>4.2307692000000001E-2</v>
      </c>
      <c r="W87">
        <v>0.13245299199999999</v>
      </c>
      <c r="X87">
        <v>0</v>
      </c>
      <c r="Y87">
        <v>4.7644445000000001E-2</v>
      </c>
      <c r="Z87">
        <v>1</v>
      </c>
      <c r="AA87">
        <v>1</v>
      </c>
      <c r="AB87">
        <v>0</v>
      </c>
      <c r="AC87">
        <v>0</v>
      </c>
      <c r="AD87">
        <v>1</v>
      </c>
    </row>
    <row r="88" spans="1:30" x14ac:dyDescent="0.25">
      <c r="A88" t="s">
        <v>459</v>
      </c>
      <c r="B88" t="s">
        <v>208</v>
      </c>
      <c r="C88" t="s">
        <v>36</v>
      </c>
      <c r="D88" t="s">
        <v>31</v>
      </c>
      <c r="E88" t="s">
        <v>209</v>
      </c>
      <c r="F88">
        <v>82</v>
      </c>
      <c r="G88">
        <v>15</v>
      </c>
      <c r="H88">
        <v>0.63076923100000004</v>
      </c>
      <c r="I88">
        <v>13</v>
      </c>
      <c r="J88">
        <v>8.625</v>
      </c>
      <c r="K88">
        <v>9.8000000000000007</v>
      </c>
      <c r="L88">
        <v>9</v>
      </c>
      <c r="M88">
        <v>0.46153846199999998</v>
      </c>
      <c r="N88">
        <v>0.69230769199999997</v>
      </c>
      <c r="O88">
        <v>2830</v>
      </c>
      <c r="P88">
        <v>2830</v>
      </c>
      <c r="Q88">
        <v>101</v>
      </c>
      <c r="R88">
        <v>28.01980198</v>
      </c>
      <c r="S88">
        <v>182</v>
      </c>
      <c r="T88">
        <v>9.4752770000000007E-3</v>
      </c>
      <c r="U88">
        <v>9.4752770000000007E-3</v>
      </c>
      <c r="V88">
        <v>0.70700039000000003</v>
      </c>
      <c r="W88">
        <v>9.4752770000000007E-3</v>
      </c>
      <c r="X88">
        <v>0.486666667</v>
      </c>
      <c r="Y88">
        <v>0.50139524999999996</v>
      </c>
      <c r="Z88">
        <v>1</v>
      </c>
      <c r="AA88">
        <v>1</v>
      </c>
      <c r="AB88">
        <v>1</v>
      </c>
      <c r="AC88">
        <v>1</v>
      </c>
      <c r="AD88">
        <v>0</v>
      </c>
    </row>
    <row r="89" spans="1:30" x14ac:dyDescent="0.25">
      <c r="A89" t="s">
        <v>460</v>
      </c>
      <c r="B89" t="s">
        <v>210</v>
      </c>
      <c r="C89" t="s">
        <v>30</v>
      </c>
      <c r="D89" t="s">
        <v>211</v>
      </c>
      <c r="E89" t="s">
        <v>212</v>
      </c>
      <c r="F89">
        <v>14</v>
      </c>
      <c r="G89">
        <v>6</v>
      </c>
      <c r="H89">
        <v>0.107692308</v>
      </c>
      <c r="I89">
        <v>7</v>
      </c>
      <c r="J89">
        <v>9.085714286</v>
      </c>
      <c r="K89">
        <v>9.8000000000000007</v>
      </c>
      <c r="L89">
        <v>6</v>
      </c>
      <c r="M89">
        <v>0.571428571</v>
      </c>
      <c r="N89">
        <v>0.85714285700000004</v>
      </c>
      <c r="O89">
        <v>2830</v>
      </c>
      <c r="P89">
        <v>2830</v>
      </c>
      <c r="Q89">
        <v>101</v>
      </c>
      <c r="R89">
        <v>28.01980198</v>
      </c>
      <c r="S89">
        <v>182</v>
      </c>
      <c r="T89">
        <v>9.4752770000000007E-3</v>
      </c>
      <c r="U89">
        <v>9.4752770000000007E-3</v>
      </c>
      <c r="V89">
        <v>0.49834422299999998</v>
      </c>
      <c r="W89">
        <v>9.4752770000000007E-3</v>
      </c>
      <c r="X89">
        <v>0.296666667</v>
      </c>
      <c r="Y89">
        <v>0.340067167</v>
      </c>
      <c r="Z89">
        <v>1</v>
      </c>
      <c r="AA89">
        <v>1</v>
      </c>
      <c r="AB89">
        <v>1</v>
      </c>
      <c r="AC89">
        <v>0</v>
      </c>
      <c r="AD89">
        <v>0</v>
      </c>
    </row>
    <row r="90" spans="1:30" x14ac:dyDescent="0.25">
      <c r="A90" t="s">
        <v>461</v>
      </c>
      <c r="B90" t="s">
        <v>213</v>
      </c>
      <c r="C90" t="s">
        <v>48</v>
      </c>
      <c r="D90" t="s">
        <v>214</v>
      </c>
      <c r="E90" t="s">
        <v>215</v>
      </c>
      <c r="F90">
        <v>38</v>
      </c>
      <c r="G90">
        <v>9</v>
      </c>
      <c r="H90">
        <v>0.29230769200000001</v>
      </c>
      <c r="I90">
        <v>2</v>
      </c>
      <c r="J90">
        <v>7.15</v>
      </c>
      <c r="K90">
        <v>7.8</v>
      </c>
      <c r="L90">
        <v>2</v>
      </c>
      <c r="M90">
        <v>0</v>
      </c>
      <c r="N90">
        <v>1</v>
      </c>
      <c r="O90">
        <v>19712</v>
      </c>
      <c r="P90">
        <v>19712</v>
      </c>
      <c r="Q90">
        <v>101</v>
      </c>
      <c r="R90">
        <v>195.16831680000001</v>
      </c>
      <c r="S90">
        <v>304</v>
      </c>
      <c r="T90">
        <v>6.5998820999999999E-2</v>
      </c>
      <c r="U90">
        <v>6.5998820999999999E-2</v>
      </c>
      <c r="V90">
        <v>0.57731938699999996</v>
      </c>
      <c r="W90">
        <v>6.5998820999999999E-2</v>
      </c>
      <c r="X90">
        <v>9.3333333000000004E-2</v>
      </c>
      <c r="Y90">
        <v>0.32985945799999999</v>
      </c>
      <c r="Z90">
        <v>1</v>
      </c>
      <c r="AA90">
        <v>1</v>
      </c>
      <c r="AB90">
        <v>1</v>
      </c>
      <c r="AC90">
        <v>0</v>
      </c>
      <c r="AD90">
        <v>1</v>
      </c>
    </row>
    <row r="91" spans="1:30" x14ac:dyDescent="0.25">
      <c r="A91" t="s">
        <v>462</v>
      </c>
      <c r="B91" t="s">
        <v>216</v>
      </c>
      <c r="C91" t="s">
        <v>30</v>
      </c>
      <c r="D91" t="s">
        <v>217</v>
      </c>
      <c r="E91" t="s">
        <v>218</v>
      </c>
      <c r="F91">
        <v>22</v>
      </c>
      <c r="G91">
        <v>10</v>
      </c>
      <c r="H91">
        <v>0.169230769</v>
      </c>
      <c r="I91">
        <v>5</v>
      </c>
      <c r="J91">
        <v>8</v>
      </c>
      <c r="K91">
        <v>8.8000000000000007</v>
      </c>
      <c r="L91">
        <v>5</v>
      </c>
      <c r="M91">
        <v>0</v>
      </c>
      <c r="N91">
        <v>1</v>
      </c>
      <c r="O91">
        <v>39560</v>
      </c>
      <c r="P91">
        <v>39560</v>
      </c>
      <c r="Q91">
        <v>101</v>
      </c>
      <c r="R91">
        <v>391.68316829999998</v>
      </c>
      <c r="S91">
        <v>1716</v>
      </c>
      <c r="T91">
        <v>0.13245299199999999</v>
      </c>
      <c r="U91">
        <v>0.13245299199999999</v>
      </c>
      <c r="V91">
        <v>0.53731808700000006</v>
      </c>
      <c r="W91">
        <v>0.13245299199999999</v>
      </c>
      <c r="X91">
        <v>0.233333333</v>
      </c>
      <c r="Y91">
        <v>0.365149642</v>
      </c>
      <c r="Z91">
        <v>1</v>
      </c>
      <c r="AA91">
        <v>1</v>
      </c>
      <c r="AB91">
        <v>1</v>
      </c>
      <c r="AC91">
        <v>1</v>
      </c>
      <c r="AD91">
        <v>1</v>
      </c>
    </row>
    <row r="92" spans="1:30" x14ac:dyDescent="0.25">
      <c r="A92" t="s">
        <v>463</v>
      </c>
      <c r="B92" t="s">
        <v>219</v>
      </c>
      <c r="C92" t="s">
        <v>48</v>
      </c>
      <c r="D92" t="s">
        <v>45</v>
      </c>
      <c r="E92" t="s">
        <v>220</v>
      </c>
      <c r="F92">
        <v>64</v>
      </c>
      <c r="G92">
        <v>14</v>
      </c>
      <c r="H92">
        <v>0.49230769200000002</v>
      </c>
      <c r="I92">
        <v>4</v>
      </c>
      <c r="J92">
        <v>8.3000000000000007</v>
      </c>
      <c r="K92">
        <v>9.8000000000000007</v>
      </c>
      <c r="L92">
        <v>2</v>
      </c>
      <c r="M92">
        <v>0.5</v>
      </c>
      <c r="N92">
        <v>0.5</v>
      </c>
      <c r="O92">
        <v>39560</v>
      </c>
      <c r="P92">
        <v>39560</v>
      </c>
      <c r="Q92">
        <v>101</v>
      </c>
      <c r="R92">
        <v>391.68316829999998</v>
      </c>
      <c r="S92">
        <v>1716</v>
      </c>
      <c r="T92">
        <v>0.13245299199999999</v>
      </c>
      <c r="U92">
        <v>0.13245299199999999</v>
      </c>
      <c r="V92">
        <v>0.58145789999999997</v>
      </c>
      <c r="W92">
        <v>0.13245299199999999</v>
      </c>
      <c r="X92">
        <v>0.12666666700000001</v>
      </c>
      <c r="Y92">
        <v>0.355219548</v>
      </c>
      <c r="Z92">
        <v>1</v>
      </c>
      <c r="AA92">
        <v>1</v>
      </c>
      <c r="AB92">
        <v>1</v>
      </c>
      <c r="AC92">
        <v>1</v>
      </c>
      <c r="AD92">
        <v>0</v>
      </c>
    </row>
    <row r="93" spans="1:30" x14ac:dyDescent="0.25">
      <c r="A93" t="s">
        <v>464</v>
      </c>
      <c r="B93" t="s">
        <v>221</v>
      </c>
      <c r="C93" t="s">
        <v>30</v>
      </c>
      <c r="D93" t="s">
        <v>222</v>
      </c>
      <c r="E93" t="s">
        <v>67</v>
      </c>
      <c r="F93">
        <v>6</v>
      </c>
      <c r="G93">
        <v>3</v>
      </c>
      <c r="H93">
        <v>4.6153845999999998E-2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67703</v>
      </c>
      <c r="P93">
        <v>67703</v>
      </c>
      <c r="Q93">
        <v>197</v>
      </c>
      <c r="R93">
        <v>343.67005080000001</v>
      </c>
      <c r="S93">
        <v>1461</v>
      </c>
      <c r="T93">
        <v>0.22668010399999999</v>
      </c>
      <c r="U93">
        <v>0.116216703</v>
      </c>
      <c r="V93">
        <v>2.3076922999999999E-2</v>
      </c>
      <c r="W93">
        <v>0.193541084</v>
      </c>
      <c r="X93">
        <v>0</v>
      </c>
      <c r="Y93">
        <v>5.0246678000000003E-2</v>
      </c>
      <c r="Z93">
        <v>1</v>
      </c>
      <c r="AA93">
        <v>1</v>
      </c>
      <c r="AB93">
        <v>0</v>
      </c>
      <c r="AC93">
        <v>0</v>
      </c>
      <c r="AD93">
        <v>1</v>
      </c>
    </row>
    <row r="94" spans="1:30" x14ac:dyDescent="0.25">
      <c r="A94" t="s">
        <v>465</v>
      </c>
      <c r="B94" t="s">
        <v>223</v>
      </c>
      <c r="C94" t="s">
        <v>48</v>
      </c>
      <c r="D94" t="s">
        <v>30</v>
      </c>
      <c r="E94" t="s">
        <v>97</v>
      </c>
      <c r="F94">
        <v>10</v>
      </c>
      <c r="G94">
        <v>8</v>
      </c>
      <c r="H94">
        <v>7.6923077000000006E-2</v>
      </c>
      <c r="I94">
        <v>2</v>
      </c>
      <c r="J94">
        <v>9.1999999999999993</v>
      </c>
      <c r="K94">
        <v>10</v>
      </c>
      <c r="L94">
        <v>2</v>
      </c>
      <c r="M94">
        <v>0.5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0.52156964699999997</v>
      </c>
      <c r="W94">
        <v>0</v>
      </c>
      <c r="X94">
        <v>9.3333333000000004E-2</v>
      </c>
      <c r="Y94">
        <v>0.28878482300000002</v>
      </c>
      <c r="Z94">
        <v>1</v>
      </c>
      <c r="AA94">
        <v>1</v>
      </c>
      <c r="AB94">
        <v>1</v>
      </c>
      <c r="AC94">
        <v>0</v>
      </c>
      <c r="AD94">
        <v>0</v>
      </c>
    </row>
    <row r="95" spans="1:30" x14ac:dyDescent="0.25">
      <c r="A95" t="s">
        <v>466</v>
      </c>
      <c r="B95" t="s">
        <v>224</v>
      </c>
      <c r="C95" t="s">
        <v>48</v>
      </c>
      <c r="D95" t="s">
        <v>31</v>
      </c>
      <c r="E95" t="s">
        <v>97</v>
      </c>
      <c r="F95">
        <v>36</v>
      </c>
      <c r="G95">
        <v>11</v>
      </c>
      <c r="H95">
        <v>0.27692307700000002</v>
      </c>
      <c r="I95">
        <v>4</v>
      </c>
      <c r="J95">
        <v>9.2249999999999996</v>
      </c>
      <c r="K95">
        <v>9.8000000000000007</v>
      </c>
      <c r="L95">
        <v>3</v>
      </c>
      <c r="M95">
        <v>0.75</v>
      </c>
      <c r="N95">
        <v>0.75</v>
      </c>
      <c r="O95">
        <v>2830</v>
      </c>
      <c r="P95">
        <v>2830</v>
      </c>
      <c r="Q95">
        <v>101</v>
      </c>
      <c r="R95">
        <v>28.01980198</v>
      </c>
      <c r="S95">
        <v>182</v>
      </c>
      <c r="T95">
        <v>9.4752770000000007E-3</v>
      </c>
      <c r="U95">
        <v>9.4752770000000007E-3</v>
      </c>
      <c r="V95">
        <v>0.55970309299999998</v>
      </c>
      <c r="W95">
        <v>9.4752770000000007E-3</v>
      </c>
      <c r="X95">
        <v>0.15666666700000001</v>
      </c>
      <c r="Y95">
        <v>0.328746602</v>
      </c>
      <c r="Z95">
        <v>1</v>
      </c>
      <c r="AA95">
        <v>1</v>
      </c>
      <c r="AB95">
        <v>1</v>
      </c>
      <c r="AC95">
        <v>0</v>
      </c>
      <c r="AD95">
        <v>0</v>
      </c>
    </row>
    <row r="96" spans="1:30" x14ac:dyDescent="0.25">
      <c r="A96" t="s">
        <v>467</v>
      </c>
      <c r="B96" t="s">
        <v>225</v>
      </c>
      <c r="C96" t="s">
        <v>30</v>
      </c>
      <c r="D96" t="s">
        <v>226</v>
      </c>
      <c r="E96" t="s">
        <v>227</v>
      </c>
      <c r="F96">
        <v>9</v>
      </c>
      <c r="G96">
        <v>6</v>
      </c>
      <c r="H96">
        <v>6.9230768999999998E-2</v>
      </c>
      <c r="I96">
        <v>1</v>
      </c>
      <c r="J96">
        <v>7.8</v>
      </c>
      <c r="K96">
        <v>7.8</v>
      </c>
      <c r="L96">
        <v>0</v>
      </c>
      <c r="M96">
        <v>0</v>
      </c>
      <c r="N96">
        <v>0</v>
      </c>
      <c r="O96">
        <v>0</v>
      </c>
      <c r="P96">
        <v>0</v>
      </c>
      <c r="Q96">
        <v>24</v>
      </c>
      <c r="R96">
        <v>0</v>
      </c>
      <c r="S96">
        <v>0</v>
      </c>
      <c r="T96">
        <v>0</v>
      </c>
      <c r="U96">
        <v>0</v>
      </c>
      <c r="V96">
        <v>0.23225051999999999</v>
      </c>
      <c r="W96">
        <v>0</v>
      </c>
      <c r="X96">
        <v>1.6666667E-2</v>
      </c>
      <c r="Y96">
        <v>0.12112526</v>
      </c>
      <c r="Z96">
        <v>1</v>
      </c>
      <c r="AA96">
        <v>1</v>
      </c>
      <c r="AB96">
        <v>1</v>
      </c>
      <c r="AC96">
        <v>0</v>
      </c>
      <c r="AD96">
        <v>0</v>
      </c>
    </row>
    <row r="97" spans="1:30" x14ac:dyDescent="0.25">
      <c r="A97" t="s">
        <v>468</v>
      </c>
      <c r="B97" t="s">
        <v>228</v>
      </c>
      <c r="C97" t="s">
        <v>30</v>
      </c>
      <c r="D97" t="s">
        <v>30</v>
      </c>
      <c r="E97" t="s">
        <v>196</v>
      </c>
      <c r="F97">
        <v>22</v>
      </c>
      <c r="G97">
        <v>12</v>
      </c>
      <c r="H97">
        <v>0.169230769</v>
      </c>
      <c r="I97">
        <v>3</v>
      </c>
      <c r="J97">
        <v>9.8000000000000007</v>
      </c>
      <c r="K97">
        <v>9.8000000000000007</v>
      </c>
      <c r="L97">
        <v>2</v>
      </c>
      <c r="M97">
        <v>1</v>
      </c>
      <c r="N97">
        <v>0.66666666699999999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0.49959286200000003</v>
      </c>
      <c r="W97">
        <v>0</v>
      </c>
      <c r="X97">
        <v>0.11</v>
      </c>
      <c r="Y97">
        <v>0.28279643100000001</v>
      </c>
      <c r="Z97">
        <v>1</v>
      </c>
      <c r="AA97">
        <v>1</v>
      </c>
      <c r="AB97">
        <v>1</v>
      </c>
      <c r="AC97">
        <v>0</v>
      </c>
      <c r="AD97">
        <v>0</v>
      </c>
    </row>
    <row r="98" spans="1:30" x14ac:dyDescent="0.25">
      <c r="A98" t="s">
        <v>469</v>
      </c>
      <c r="B98" t="s">
        <v>229</v>
      </c>
      <c r="C98" t="s">
        <v>30</v>
      </c>
      <c r="D98" t="s">
        <v>30</v>
      </c>
      <c r="E98" t="s">
        <v>59</v>
      </c>
      <c r="F98">
        <v>19</v>
      </c>
      <c r="G98">
        <v>7</v>
      </c>
      <c r="H98">
        <v>0.146153846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7.3076923000000002E-2</v>
      </c>
      <c r="W98">
        <v>0</v>
      </c>
      <c r="X98">
        <v>0</v>
      </c>
      <c r="Y98">
        <v>3.6538462000000001E-2</v>
      </c>
      <c r="Z98">
        <v>1</v>
      </c>
      <c r="AA98">
        <v>1</v>
      </c>
      <c r="AB98">
        <v>0</v>
      </c>
      <c r="AC98">
        <v>0</v>
      </c>
      <c r="AD98">
        <v>1</v>
      </c>
    </row>
    <row r="99" spans="1:30" x14ac:dyDescent="0.25">
      <c r="A99" t="s">
        <v>470</v>
      </c>
      <c r="B99" t="s">
        <v>230</v>
      </c>
      <c r="C99" t="s">
        <v>30</v>
      </c>
      <c r="D99" t="s">
        <v>231</v>
      </c>
      <c r="E99" t="s">
        <v>232</v>
      </c>
      <c r="F99">
        <v>59</v>
      </c>
      <c r="G99">
        <v>14</v>
      </c>
      <c r="H99">
        <v>0.453846154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2830</v>
      </c>
      <c r="P99">
        <v>2830</v>
      </c>
      <c r="Q99">
        <v>101</v>
      </c>
      <c r="R99">
        <v>28.01980198</v>
      </c>
      <c r="S99">
        <v>182</v>
      </c>
      <c r="T99">
        <v>9.4752770000000007E-3</v>
      </c>
      <c r="U99">
        <v>9.4752770000000007E-3</v>
      </c>
      <c r="V99">
        <v>0.226923077</v>
      </c>
      <c r="W99">
        <v>9.4752770000000007E-3</v>
      </c>
      <c r="X99">
        <v>0</v>
      </c>
      <c r="Y99">
        <v>0.11535659400000001</v>
      </c>
      <c r="Z99">
        <v>1</v>
      </c>
      <c r="AA99">
        <v>1</v>
      </c>
      <c r="AB99">
        <v>0</v>
      </c>
      <c r="AC99">
        <v>0</v>
      </c>
      <c r="AD99">
        <v>0</v>
      </c>
    </row>
    <row r="100" spans="1:30" x14ac:dyDescent="0.25">
      <c r="A100" t="s">
        <v>471</v>
      </c>
      <c r="B100" t="s">
        <v>233</v>
      </c>
      <c r="C100" t="s">
        <v>48</v>
      </c>
      <c r="D100" t="s">
        <v>30</v>
      </c>
      <c r="E100" t="s">
        <v>49</v>
      </c>
      <c r="F100">
        <v>9</v>
      </c>
      <c r="G100">
        <v>6</v>
      </c>
      <c r="H100">
        <v>6.9230768999999998E-2</v>
      </c>
      <c r="I100">
        <v>4</v>
      </c>
      <c r="J100">
        <v>9.5</v>
      </c>
      <c r="K100">
        <v>10</v>
      </c>
      <c r="L100">
        <v>3</v>
      </c>
      <c r="M100">
        <v>0.75</v>
      </c>
      <c r="N100">
        <v>0.75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0.46282484400000001</v>
      </c>
      <c r="W100">
        <v>0</v>
      </c>
      <c r="X100">
        <v>0.15666666700000001</v>
      </c>
      <c r="Y100">
        <v>0.27841242199999999</v>
      </c>
      <c r="Z100">
        <v>1</v>
      </c>
      <c r="AA100">
        <v>1</v>
      </c>
      <c r="AB100">
        <v>1</v>
      </c>
      <c r="AC100">
        <v>0</v>
      </c>
      <c r="AD100">
        <v>0</v>
      </c>
    </row>
    <row r="101" spans="1:30" x14ac:dyDescent="0.25">
      <c r="A101" t="s">
        <v>472</v>
      </c>
      <c r="B101" t="s">
        <v>234</v>
      </c>
      <c r="C101" t="s">
        <v>30</v>
      </c>
      <c r="D101" t="s">
        <v>235</v>
      </c>
      <c r="E101" t="s">
        <v>236</v>
      </c>
      <c r="F101">
        <v>41</v>
      </c>
      <c r="G101">
        <v>11</v>
      </c>
      <c r="H101">
        <v>0.31538461499999998</v>
      </c>
      <c r="I101">
        <v>7</v>
      </c>
      <c r="J101">
        <v>8.9714285710000006</v>
      </c>
      <c r="K101">
        <v>10</v>
      </c>
      <c r="L101">
        <v>4</v>
      </c>
      <c r="M101">
        <v>0.71428571399999996</v>
      </c>
      <c r="N101">
        <v>0.571428571</v>
      </c>
      <c r="O101">
        <v>5342</v>
      </c>
      <c r="P101">
        <v>5342</v>
      </c>
      <c r="Q101">
        <v>125</v>
      </c>
      <c r="R101">
        <v>42.735999999999997</v>
      </c>
      <c r="S101">
        <v>2238</v>
      </c>
      <c r="T101">
        <v>1.7885841E-2</v>
      </c>
      <c r="U101">
        <v>1.4451759999999999E-2</v>
      </c>
      <c r="V101">
        <v>0.527866053</v>
      </c>
      <c r="W101">
        <v>1.6855617E-2</v>
      </c>
      <c r="X101">
        <v>0.236666667</v>
      </c>
      <c r="Y101">
        <v>0.33830415000000003</v>
      </c>
      <c r="Z101">
        <v>1</v>
      </c>
      <c r="AA101">
        <v>1</v>
      </c>
      <c r="AB101">
        <v>1</v>
      </c>
      <c r="AC101">
        <v>0</v>
      </c>
      <c r="AD101">
        <v>1</v>
      </c>
    </row>
    <row r="102" spans="1:30" x14ac:dyDescent="0.25">
      <c r="A102" t="s">
        <v>473</v>
      </c>
      <c r="B102" t="s">
        <v>237</v>
      </c>
      <c r="C102" t="s">
        <v>48</v>
      </c>
      <c r="D102" t="s">
        <v>45</v>
      </c>
      <c r="E102" t="s">
        <v>49</v>
      </c>
      <c r="F102">
        <v>33</v>
      </c>
      <c r="G102">
        <v>15</v>
      </c>
      <c r="H102">
        <v>0.25384615399999999</v>
      </c>
      <c r="I102">
        <v>2</v>
      </c>
      <c r="J102">
        <v>6.35</v>
      </c>
      <c r="K102">
        <v>7.2</v>
      </c>
      <c r="L102">
        <v>1</v>
      </c>
      <c r="M102">
        <v>0</v>
      </c>
      <c r="N102">
        <v>0.5</v>
      </c>
      <c r="O102">
        <v>39560</v>
      </c>
      <c r="P102">
        <v>39560</v>
      </c>
      <c r="Q102">
        <v>101</v>
      </c>
      <c r="R102">
        <v>391.68316829999998</v>
      </c>
      <c r="S102">
        <v>1716</v>
      </c>
      <c r="T102">
        <v>0.13245299199999999</v>
      </c>
      <c r="U102">
        <v>0.13245299199999999</v>
      </c>
      <c r="V102">
        <v>0.41281834699999997</v>
      </c>
      <c r="W102">
        <v>0.13245299199999999</v>
      </c>
      <c r="X102">
        <v>6.3333333000000006E-2</v>
      </c>
      <c r="Y102">
        <v>0.25189977200000002</v>
      </c>
      <c r="Z102">
        <v>1</v>
      </c>
      <c r="AA102">
        <v>1</v>
      </c>
      <c r="AB102">
        <v>1</v>
      </c>
      <c r="AC102">
        <v>0</v>
      </c>
      <c r="AD102">
        <v>0</v>
      </c>
    </row>
    <row r="103" spans="1:30" x14ac:dyDescent="0.25">
      <c r="A103" t="s">
        <v>474</v>
      </c>
      <c r="B103" t="s">
        <v>238</v>
      </c>
      <c r="C103" t="s">
        <v>48</v>
      </c>
      <c r="D103" t="s">
        <v>30</v>
      </c>
      <c r="E103" t="s">
        <v>97</v>
      </c>
      <c r="F103">
        <v>11</v>
      </c>
      <c r="G103">
        <v>7</v>
      </c>
      <c r="H103">
        <v>8.4615385000000001E-2</v>
      </c>
      <c r="I103">
        <v>2</v>
      </c>
      <c r="J103">
        <v>9.1999999999999993</v>
      </c>
      <c r="K103">
        <v>10</v>
      </c>
      <c r="L103">
        <v>2</v>
      </c>
      <c r="M103">
        <v>0.5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0.52541579999999999</v>
      </c>
      <c r="W103">
        <v>0</v>
      </c>
      <c r="X103">
        <v>9.3333333000000004E-2</v>
      </c>
      <c r="Y103">
        <v>0.29070790000000002</v>
      </c>
      <c r="Z103">
        <v>1</v>
      </c>
      <c r="AA103">
        <v>1</v>
      </c>
      <c r="AB103">
        <v>1</v>
      </c>
      <c r="AC103">
        <v>0</v>
      </c>
      <c r="AD103">
        <v>0</v>
      </c>
    </row>
    <row r="104" spans="1:30" x14ac:dyDescent="0.25">
      <c r="A104" t="s">
        <v>475</v>
      </c>
      <c r="B104" t="s">
        <v>239</v>
      </c>
      <c r="C104" t="s">
        <v>30</v>
      </c>
      <c r="D104" t="s">
        <v>240</v>
      </c>
      <c r="E104" t="s">
        <v>67</v>
      </c>
      <c r="F104">
        <v>30</v>
      </c>
      <c r="G104">
        <v>10</v>
      </c>
      <c r="H104">
        <v>0.23076923099999999</v>
      </c>
      <c r="I104">
        <v>3</v>
      </c>
      <c r="J104">
        <v>7.7</v>
      </c>
      <c r="K104">
        <v>7.8</v>
      </c>
      <c r="L104">
        <v>3</v>
      </c>
      <c r="M104">
        <v>0</v>
      </c>
      <c r="N104">
        <v>1</v>
      </c>
      <c r="O104">
        <v>64698</v>
      </c>
      <c r="P104">
        <v>64698</v>
      </c>
      <c r="Q104">
        <v>197</v>
      </c>
      <c r="R104">
        <v>572.54867260000003</v>
      </c>
      <c r="S104">
        <v>1675</v>
      </c>
      <c r="T104">
        <v>0.2166189</v>
      </c>
      <c r="U104">
        <v>0.193615123</v>
      </c>
      <c r="V104">
        <v>0.56048596699999997</v>
      </c>
      <c r="W104">
        <v>0.209717767</v>
      </c>
      <c r="X104">
        <v>0.14000000000000001</v>
      </c>
      <c r="Y104">
        <v>0.36418653699999998</v>
      </c>
      <c r="Z104">
        <v>1</v>
      </c>
      <c r="AA104">
        <v>1</v>
      </c>
      <c r="AB104">
        <v>1</v>
      </c>
      <c r="AC104">
        <v>1</v>
      </c>
      <c r="AD104">
        <v>1</v>
      </c>
    </row>
    <row r="105" spans="1:30" x14ac:dyDescent="0.25">
      <c r="A105" t="s">
        <v>476</v>
      </c>
      <c r="B105" t="s">
        <v>241</v>
      </c>
      <c r="C105" t="s">
        <v>30</v>
      </c>
      <c r="D105" t="s">
        <v>37</v>
      </c>
      <c r="E105" t="s">
        <v>59</v>
      </c>
      <c r="F105">
        <v>13</v>
      </c>
      <c r="G105">
        <v>8</v>
      </c>
      <c r="H105">
        <v>0.1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5342</v>
      </c>
      <c r="P105">
        <v>5342</v>
      </c>
      <c r="Q105">
        <v>125</v>
      </c>
      <c r="R105">
        <v>42.735999999999997</v>
      </c>
      <c r="S105">
        <v>2238</v>
      </c>
      <c r="T105">
        <v>1.7885841E-2</v>
      </c>
      <c r="U105">
        <v>1.4451759999999999E-2</v>
      </c>
      <c r="V105">
        <v>0.05</v>
      </c>
      <c r="W105">
        <v>1.6855617E-2</v>
      </c>
      <c r="X105">
        <v>0</v>
      </c>
      <c r="Y105">
        <v>2.8371123000000002E-2</v>
      </c>
      <c r="Z105">
        <v>1</v>
      </c>
      <c r="AA105">
        <v>1</v>
      </c>
      <c r="AB105">
        <v>0</v>
      </c>
      <c r="AC105">
        <v>0</v>
      </c>
      <c r="AD105">
        <v>1</v>
      </c>
    </row>
    <row r="106" spans="1:30" x14ac:dyDescent="0.25">
      <c r="A106" t="s">
        <v>477</v>
      </c>
      <c r="B106" t="s">
        <v>242</v>
      </c>
      <c r="C106" t="s">
        <v>30</v>
      </c>
      <c r="D106" t="s">
        <v>30</v>
      </c>
      <c r="E106" t="s">
        <v>34</v>
      </c>
      <c r="F106">
        <v>5</v>
      </c>
      <c r="G106">
        <v>4</v>
      </c>
      <c r="H106">
        <v>3.8461538000000003E-2</v>
      </c>
      <c r="I106">
        <v>2</v>
      </c>
      <c r="J106">
        <v>9.8000000000000007</v>
      </c>
      <c r="K106">
        <v>9.8000000000000007</v>
      </c>
      <c r="L106">
        <v>1</v>
      </c>
      <c r="M106">
        <v>1</v>
      </c>
      <c r="N106">
        <v>0.5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0.39254158</v>
      </c>
      <c r="W106">
        <v>0</v>
      </c>
      <c r="X106">
        <v>6.3333333000000006E-2</v>
      </c>
      <c r="Y106">
        <v>0.21527078999999999</v>
      </c>
      <c r="Z106">
        <v>1</v>
      </c>
      <c r="AA106">
        <v>0</v>
      </c>
      <c r="AB106">
        <v>1</v>
      </c>
      <c r="AC106">
        <v>0</v>
      </c>
      <c r="AD106">
        <v>0</v>
      </c>
    </row>
    <row r="107" spans="1:30" x14ac:dyDescent="0.25">
      <c r="A107" t="s">
        <v>478</v>
      </c>
      <c r="B107" t="s">
        <v>243</v>
      </c>
      <c r="C107" t="s">
        <v>30</v>
      </c>
      <c r="D107" t="s">
        <v>30</v>
      </c>
      <c r="E107" t="s">
        <v>198</v>
      </c>
      <c r="F107">
        <v>7</v>
      </c>
      <c r="G107">
        <v>5</v>
      </c>
      <c r="H107">
        <v>5.3846154E-2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2.6923077E-2</v>
      </c>
      <c r="W107">
        <v>0</v>
      </c>
      <c r="X107">
        <v>0</v>
      </c>
      <c r="Y107">
        <v>1.3461538E-2</v>
      </c>
      <c r="Z107">
        <v>1</v>
      </c>
      <c r="AA107">
        <v>1</v>
      </c>
      <c r="AB107">
        <v>0</v>
      </c>
      <c r="AC107">
        <v>0</v>
      </c>
      <c r="AD107">
        <v>0</v>
      </c>
    </row>
    <row r="108" spans="1:30" x14ac:dyDescent="0.25">
      <c r="A108" t="s">
        <v>479</v>
      </c>
      <c r="B108" t="s">
        <v>244</v>
      </c>
      <c r="C108" t="s">
        <v>36</v>
      </c>
      <c r="D108" t="s">
        <v>31</v>
      </c>
      <c r="E108" t="s">
        <v>245</v>
      </c>
      <c r="F108">
        <v>44</v>
      </c>
      <c r="G108">
        <v>14</v>
      </c>
      <c r="H108">
        <v>0.33846153800000001</v>
      </c>
      <c r="I108">
        <v>3</v>
      </c>
      <c r="J108">
        <v>9.5666666669999998</v>
      </c>
      <c r="K108">
        <v>9.8000000000000007</v>
      </c>
      <c r="L108">
        <v>2</v>
      </c>
      <c r="M108">
        <v>1</v>
      </c>
      <c r="N108">
        <v>0.66666666699999999</v>
      </c>
      <c r="O108">
        <v>2830</v>
      </c>
      <c r="P108">
        <v>2830</v>
      </c>
      <c r="Q108">
        <v>101</v>
      </c>
      <c r="R108">
        <v>28.01980198</v>
      </c>
      <c r="S108">
        <v>182</v>
      </c>
      <c r="T108">
        <v>9.4752770000000007E-3</v>
      </c>
      <c r="U108">
        <v>9.4752770000000007E-3</v>
      </c>
      <c r="V108">
        <v>0.57829608499999996</v>
      </c>
      <c r="W108">
        <v>9.4752770000000007E-3</v>
      </c>
      <c r="X108">
        <v>0.11</v>
      </c>
      <c r="Y108">
        <v>0.32404309799999997</v>
      </c>
      <c r="Z108">
        <v>1</v>
      </c>
      <c r="AA108">
        <v>1</v>
      </c>
      <c r="AB108">
        <v>1</v>
      </c>
      <c r="AC108">
        <v>0</v>
      </c>
      <c r="AD108">
        <v>1</v>
      </c>
    </row>
    <row r="109" spans="1:30" x14ac:dyDescent="0.25">
      <c r="A109" t="s">
        <v>480</v>
      </c>
      <c r="B109" t="s">
        <v>246</v>
      </c>
      <c r="C109" t="s">
        <v>30</v>
      </c>
      <c r="D109" t="s">
        <v>247</v>
      </c>
      <c r="E109" t="s">
        <v>59</v>
      </c>
      <c r="F109">
        <v>28</v>
      </c>
      <c r="G109">
        <v>8</v>
      </c>
      <c r="H109">
        <v>0.215384615</v>
      </c>
      <c r="I109">
        <v>1</v>
      </c>
      <c r="J109">
        <v>8.8000000000000007</v>
      </c>
      <c r="K109">
        <v>8.8000000000000007</v>
      </c>
      <c r="L109">
        <v>1</v>
      </c>
      <c r="M109">
        <v>0</v>
      </c>
      <c r="N109">
        <v>1</v>
      </c>
      <c r="O109">
        <v>39560</v>
      </c>
      <c r="P109">
        <v>39560</v>
      </c>
      <c r="Q109">
        <v>101</v>
      </c>
      <c r="R109">
        <v>391.68316829999998</v>
      </c>
      <c r="S109">
        <v>1716</v>
      </c>
      <c r="T109">
        <v>0.13245299199999999</v>
      </c>
      <c r="U109">
        <v>0.13245299199999999</v>
      </c>
      <c r="V109">
        <v>0.58066528100000003</v>
      </c>
      <c r="W109">
        <v>0.13245299199999999</v>
      </c>
      <c r="X109">
        <v>4.6666667000000002E-2</v>
      </c>
      <c r="Y109">
        <v>0.33082323899999999</v>
      </c>
      <c r="Z109">
        <v>1</v>
      </c>
      <c r="AA109">
        <v>1</v>
      </c>
      <c r="AB109">
        <v>1</v>
      </c>
      <c r="AC109">
        <v>0</v>
      </c>
      <c r="AD109">
        <v>1</v>
      </c>
    </row>
    <row r="110" spans="1:30" x14ac:dyDescent="0.25">
      <c r="A110" t="s">
        <v>481</v>
      </c>
      <c r="B110" t="s">
        <v>248</v>
      </c>
      <c r="C110" t="s">
        <v>30</v>
      </c>
      <c r="D110" t="s">
        <v>30</v>
      </c>
      <c r="E110" t="s">
        <v>97</v>
      </c>
      <c r="F110">
        <v>14</v>
      </c>
      <c r="G110">
        <v>5</v>
      </c>
      <c r="H110">
        <v>0.107692308</v>
      </c>
      <c r="I110">
        <v>1</v>
      </c>
      <c r="J110">
        <v>7.8</v>
      </c>
      <c r="K110">
        <v>7.8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0.501481289</v>
      </c>
      <c r="W110">
        <v>0</v>
      </c>
      <c r="X110">
        <v>4.6666667000000002E-2</v>
      </c>
      <c r="Y110">
        <v>0.26474064400000002</v>
      </c>
      <c r="Z110">
        <v>1</v>
      </c>
      <c r="AA110">
        <v>1</v>
      </c>
      <c r="AB110">
        <v>1</v>
      </c>
      <c r="AC110">
        <v>0</v>
      </c>
      <c r="AD110">
        <v>0</v>
      </c>
    </row>
    <row r="111" spans="1:30" x14ac:dyDescent="0.25">
      <c r="A111" t="s">
        <v>482</v>
      </c>
      <c r="B111" t="s">
        <v>249</v>
      </c>
      <c r="C111" t="s">
        <v>30</v>
      </c>
      <c r="D111" t="s">
        <v>31</v>
      </c>
      <c r="E111" t="s">
        <v>34</v>
      </c>
      <c r="F111">
        <v>29</v>
      </c>
      <c r="G111">
        <v>11</v>
      </c>
      <c r="H111">
        <v>0.22307692300000001</v>
      </c>
      <c r="I111">
        <v>3</v>
      </c>
      <c r="J111">
        <v>8.0333333329999999</v>
      </c>
      <c r="K111">
        <v>9.8000000000000007</v>
      </c>
      <c r="L111">
        <v>2</v>
      </c>
      <c r="M111">
        <v>0.33333333300000001</v>
      </c>
      <c r="N111">
        <v>0.66666666699999999</v>
      </c>
      <c r="O111">
        <v>2830</v>
      </c>
      <c r="P111">
        <v>2830</v>
      </c>
      <c r="Q111">
        <v>101</v>
      </c>
      <c r="R111">
        <v>28.01980198</v>
      </c>
      <c r="S111">
        <v>182</v>
      </c>
      <c r="T111">
        <v>9.4752770000000007E-3</v>
      </c>
      <c r="U111">
        <v>9.4752770000000007E-3</v>
      </c>
      <c r="V111">
        <v>0.48175242600000001</v>
      </c>
      <c r="W111">
        <v>9.4752770000000007E-3</v>
      </c>
      <c r="X111">
        <v>0.11</v>
      </c>
      <c r="Y111">
        <v>0.27577126800000001</v>
      </c>
      <c r="Z111">
        <v>1</v>
      </c>
      <c r="AA111">
        <v>0</v>
      </c>
      <c r="AB111">
        <v>1</v>
      </c>
      <c r="AC111">
        <v>0</v>
      </c>
      <c r="AD111">
        <v>0</v>
      </c>
    </row>
    <row r="112" spans="1:30" x14ac:dyDescent="0.25">
      <c r="A112" t="s">
        <v>483</v>
      </c>
      <c r="B112" t="s">
        <v>250</v>
      </c>
      <c r="C112" t="s">
        <v>30</v>
      </c>
      <c r="D112" t="s">
        <v>251</v>
      </c>
      <c r="E112" t="s">
        <v>84</v>
      </c>
      <c r="F112">
        <v>85</v>
      </c>
      <c r="G112">
        <v>14</v>
      </c>
      <c r="H112">
        <v>0.65384615400000001</v>
      </c>
      <c r="I112">
        <v>3</v>
      </c>
      <c r="J112">
        <v>8.7333333329999991</v>
      </c>
      <c r="K112">
        <v>10</v>
      </c>
      <c r="L112">
        <v>3</v>
      </c>
      <c r="M112">
        <v>0.33333333300000001</v>
      </c>
      <c r="N112">
        <v>1</v>
      </c>
      <c r="O112">
        <v>67703</v>
      </c>
      <c r="P112">
        <v>67703</v>
      </c>
      <c r="Q112">
        <v>197</v>
      </c>
      <c r="R112">
        <v>391.68316829999998</v>
      </c>
      <c r="S112">
        <v>1716</v>
      </c>
      <c r="T112">
        <v>0.22668010399999999</v>
      </c>
      <c r="U112">
        <v>0.13245299199999999</v>
      </c>
      <c r="V112">
        <v>0.79820686100000005</v>
      </c>
      <c r="W112">
        <v>0.19841196999999999</v>
      </c>
      <c r="X112">
        <v>0.14000000000000001</v>
      </c>
      <c r="Y112">
        <v>0.48078582399999997</v>
      </c>
      <c r="Z112">
        <v>1</v>
      </c>
      <c r="AA112">
        <v>1</v>
      </c>
      <c r="AB112">
        <v>1</v>
      </c>
      <c r="AC112">
        <v>1</v>
      </c>
      <c r="AD112">
        <v>1</v>
      </c>
    </row>
    <row r="113" spans="1:30" x14ac:dyDescent="0.25">
      <c r="A113" t="s">
        <v>484</v>
      </c>
      <c r="B113" t="s">
        <v>252</v>
      </c>
      <c r="C113" t="s">
        <v>30</v>
      </c>
      <c r="D113" t="s">
        <v>37</v>
      </c>
      <c r="E113" t="s">
        <v>253</v>
      </c>
      <c r="F113">
        <v>6</v>
      </c>
      <c r="G113">
        <v>5</v>
      </c>
      <c r="H113">
        <v>4.6153845999999998E-2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5342</v>
      </c>
      <c r="P113">
        <v>5342</v>
      </c>
      <c r="Q113">
        <v>125</v>
      </c>
      <c r="R113">
        <v>42.735999999999997</v>
      </c>
      <c r="S113">
        <v>2238</v>
      </c>
      <c r="T113">
        <v>1.7885841E-2</v>
      </c>
      <c r="U113">
        <v>1.4451759999999999E-2</v>
      </c>
      <c r="V113">
        <v>2.3076922999999999E-2</v>
      </c>
      <c r="W113">
        <v>1.6855617E-2</v>
      </c>
      <c r="X113">
        <v>0</v>
      </c>
      <c r="Y113">
        <v>1.4909585E-2</v>
      </c>
      <c r="Z113">
        <v>1</v>
      </c>
      <c r="AA113">
        <v>1</v>
      </c>
      <c r="AB113">
        <v>0</v>
      </c>
      <c r="AC113">
        <v>0</v>
      </c>
      <c r="AD113">
        <v>1</v>
      </c>
    </row>
    <row r="114" spans="1:30" x14ac:dyDescent="0.25">
      <c r="A114" t="s">
        <v>485</v>
      </c>
      <c r="B114" t="s">
        <v>254</v>
      </c>
      <c r="C114" t="s">
        <v>36</v>
      </c>
      <c r="D114" t="s">
        <v>255</v>
      </c>
      <c r="E114" t="s">
        <v>256</v>
      </c>
      <c r="F114">
        <v>15</v>
      </c>
      <c r="G114">
        <v>10</v>
      </c>
      <c r="H114">
        <v>0.115384615</v>
      </c>
      <c r="I114">
        <v>10</v>
      </c>
      <c r="J114">
        <v>8.3699999999999992</v>
      </c>
      <c r="K114">
        <v>9.8000000000000007</v>
      </c>
      <c r="L114">
        <v>7</v>
      </c>
      <c r="M114">
        <v>0.2</v>
      </c>
      <c r="N114">
        <v>0.7</v>
      </c>
      <c r="O114">
        <v>2830</v>
      </c>
      <c r="P114">
        <v>2830</v>
      </c>
      <c r="Q114">
        <v>101</v>
      </c>
      <c r="R114">
        <v>28.01980198</v>
      </c>
      <c r="S114">
        <v>182</v>
      </c>
      <c r="T114">
        <v>9.4752770000000007E-3</v>
      </c>
      <c r="U114">
        <v>9.4752770000000007E-3</v>
      </c>
      <c r="V114">
        <v>0.44477000999999999</v>
      </c>
      <c r="W114">
        <v>9.4752770000000007E-3</v>
      </c>
      <c r="X114">
        <v>0.37666666700000001</v>
      </c>
      <c r="Y114">
        <v>0.33728006100000002</v>
      </c>
      <c r="Z114">
        <v>1</v>
      </c>
      <c r="AA114">
        <v>1</v>
      </c>
      <c r="AB114">
        <v>1</v>
      </c>
      <c r="AC114">
        <v>0</v>
      </c>
      <c r="AD114">
        <v>1</v>
      </c>
    </row>
    <row r="115" spans="1:30" x14ac:dyDescent="0.25">
      <c r="A115" t="s">
        <v>486</v>
      </c>
      <c r="B115" t="s">
        <v>257</v>
      </c>
      <c r="C115" t="s">
        <v>30</v>
      </c>
      <c r="D115" t="s">
        <v>45</v>
      </c>
      <c r="E115" t="s">
        <v>59</v>
      </c>
      <c r="F115">
        <v>7</v>
      </c>
      <c r="G115">
        <v>4</v>
      </c>
      <c r="H115">
        <v>5.3846154E-2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39560</v>
      </c>
      <c r="P115">
        <v>39560</v>
      </c>
      <c r="Q115">
        <v>101</v>
      </c>
      <c r="R115">
        <v>391.68316829999998</v>
      </c>
      <c r="S115">
        <v>1716</v>
      </c>
      <c r="T115">
        <v>0.13245299199999999</v>
      </c>
      <c r="U115">
        <v>0.13245299199999999</v>
      </c>
      <c r="V115">
        <v>2.6923077E-2</v>
      </c>
      <c r="W115">
        <v>0.13245299199999999</v>
      </c>
      <c r="X115">
        <v>0</v>
      </c>
      <c r="Y115">
        <v>3.9952136999999999E-2</v>
      </c>
      <c r="Z115">
        <v>1</v>
      </c>
      <c r="AA115">
        <v>1</v>
      </c>
      <c r="AB115">
        <v>0</v>
      </c>
      <c r="AC115">
        <v>0</v>
      </c>
      <c r="AD115">
        <v>1</v>
      </c>
    </row>
    <row r="116" spans="1:30" x14ac:dyDescent="0.25">
      <c r="A116" t="s">
        <v>487</v>
      </c>
      <c r="B116" t="s">
        <v>258</v>
      </c>
      <c r="C116" t="s">
        <v>30</v>
      </c>
      <c r="D116" t="s">
        <v>259</v>
      </c>
      <c r="E116" t="s">
        <v>67</v>
      </c>
      <c r="F116">
        <v>14</v>
      </c>
      <c r="G116">
        <v>5</v>
      </c>
      <c r="H116">
        <v>0.107692308</v>
      </c>
      <c r="I116">
        <v>2</v>
      </c>
      <c r="J116">
        <v>8.3000000000000007</v>
      </c>
      <c r="K116">
        <v>8.8000000000000007</v>
      </c>
      <c r="L116">
        <v>2</v>
      </c>
      <c r="M116">
        <v>0</v>
      </c>
      <c r="N116">
        <v>1</v>
      </c>
      <c r="O116">
        <v>64698</v>
      </c>
      <c r="P116">
        <v>64698</v>
      </c>
      <c r="Q116">
        <v>197</v>
      </c>
      <c r="R116">
        <v>572.54867260000003</v>
      </c>
      <c r="S116">
        <v>1675</v>
      </c>
      <c r="T116">
        <v>0.2166189</v>
      </c>
      <c r="U116">
        <v>0.193615123</v>
      </c>
      <c r="V116">
        <v>0.514150208</v>
      </c>
      <c r="W116">
        <v>0.209717767</v>
      </c>
      <c r="X116">
        <v>9.3333333000000004E-2</v>
      </c>
      <c r="Y116">
        <v>0.32701865699999999</v>
      </c>
      <c r="Z116">
        <v>1</v>
      </c>
      <c r="AA116">
        <v>1</v>
      </c>
      <c r="AB116">
        <v>1</v>
      </c>
      <c r="AC116">
        <v>0</v>
      </c>
      <c r="AD116">
        <v>1</v>
      </c>
    </row>
    <row r="117" spans="1:30" x14ac:dyDescent="0.25">
      <c r="A117" t="s">
        <v>488</v>
      </c>
      <c r="B117" t="s">
        <v>260</v>
      </c>
      <c r="C117" t="s">
        <v>30</v>
      </c>
      <c r="D117" t="s">
        <v>30</v>
      </c>
      <c r="E117" t="s">
        <v>261</v>
      </c>
      <c r="F117">
        <v>15</v>
      </c>
      <c r="G117">
        <v>9</v>
      </c>
      <c r="H117">
        <v>0.115384615</v>
      </c>
      <c r="I117">
        <v>3</v>
      </c>
      <c r="J117">
        <v>9.8000000000000007</v>
      </c>
      <c r="K117">
        <v>9.8000000000000007</v>
      </c>
      <c r="L117">
        <v>2</v>
      </c>
      <c r="M117">
        <v>1</v>
      </c>
      <c r="N117">
        <v>0.66666666699999999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0.47266978500000001</v>
      </c>
      <c r="W117">
        <v>0</v>
      </c>
      <c r="X117">
        <v>0.11</v>
      </c>
      <c r="Y117">
        <v>0.26933489300000002</v>
      </c>
      <c r="Z117">
        <v>1</v>
      </c>
      <c r="AA117">
        <v>1</v>
      </c>
      <c r="AB117">
        <v>1</v>
      </c>
      <c r="AC117">
        <v>0</v>
      </c>
      <c r="AD117">
        <v>0</v>
      </c>
    </row>
    <row r="118" spans="1:30" x14ac:dyDescent="0.25">
      <c r="A118" t="s">
        <v>489</v>
      </c>
      <c r="B118" t="s">
        <v>262</v>
      </c>
      <c r="C118" t="s">
        <v>30</v>
      </c>
      <c r="D118" t="s">
        <v>31</v>
      </c>
      <c r="E118" t="s">
        <v>41</v>
      </c>
      <c r="F118">
        <v>7</v>
      </c>
      <c r="G118">
        <v>4</v>
      </c>
      <c r="H118">
        <v>5.3846154E-2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2830</v>
      </c>
      <c r="P118">
        <v>2830</v>
      </c>
      <c r="Q118">
        <v>101</v>
      </c>
      <c r="R118">
        <v>28.01980198</v>
      </c>
      <c r="S118">
        <v>182</v>
      </c>
      <c r="T118">
        <v>9.4752770000000007E-3</v>
      </c>
      <c r="U118">
        <v>9.4752770000000007E-3</v>
      </c>
      <c r="V118">
        <v>2.6923077E-2</v>
      </c>
      <c r="W118">
        <v>9.4752770000000007E-3</v>
      </c>
      <c r="X118">
        <v>0</v>
      </c>
      <c r="Y118">
        <v>1.5356593999999999E-2</v>
      </c>
      <c r="Z118">
        <v>1</v>
      </c>
      <c r="AA118">
        <v>1</v>
      </c>
      <c r="AB118">
        <v>0</v>
      </c>
      <c r="AC118">
        <v>0</v>
      </c>
      <c r="AD118">
        <v>1</v>
      </c>
    </row>
    <row r="119" spans="1:30" x14ac:dyDescent="0.25">
      <c r="A119" t="s">
        <v>490</v>
      </c>
      <c r="B119" t="s">
        <v>263</v>
      </c>
      <c r="C119" t="s">
        <v>30</v>
      </c>
      <c r="D119" t="s">
        <v>37</v>
      </c>
      <c r="E119" t="s">
        <v>34</v>
      </c>
      <c r="F119">
        <v>6</v>
      </c>
      <c r="G119">
        <v>4</v>
      </c>
      <c r="H119">
        <v>4.6153845999999998E-2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5342</v>
      </c>
      <c r="P119">
        <v>5342</v>
      </c>
      <c r="Q119">
        <v>125</v>
      </c>
      <c r="R119">
        <v>42.735999999999997</v>
      </c>
      <c r="S119">
        <v>2238</v>
      </c>
      <c r="T119">
        <v>1.7885841E-2</v>
      </c>
      <c r="U119">
        <v>1.4451759999999999E-2</v>
      </c>
      <c r="V119">
        <v>2.3076922999999999E-2</v>
      </c>
      <c r="W119">
        <v>1.6855617E-2</v>
      </c>
      <c r="X119">
        <v>0</v>
      </c>
      <c r="Y119">
        <v>1.4909585E-2</v>
      </c>
      <c r="Z119">
        <v>1</v>
      </c>
      <c r="AA119">
        <v>0</v>
      </c>
      <c r="AB119">
        <v>0</v>
      </c>
      <c r="AC119">
        <v>0</v>
      </c>
      <c r="AD119">
        <v>0</v>
      </c>
    </row>
    <row r="120" spans="1:30" x14ac:dyDescent="0.25">
      <c r="A120" t="s">
        <v>491</v>
      </c>
      <c r="B120" t="s">
        <v>264</v>
      </c>
      <c r="C120" t="s">
        <v>36</v>
      </c>
      <c r="D120" t="s">
        <v>265</v>
      </c>
      <c r="E120" t="s">
        <v>266</v>
      </c>
      <c r="F120">
        <v>12</v>
      </c>
      <c r="G120">
        <v>8</v>
      </c>
      <c r="H120">
        <v>9.2307691999999997E-2</v>
      </c>
      <c r="I120">
        <v>2</v>
      </c>
      <c r="J120">
        <v>9.8000000000000007</v>
      </c>
      <c r="K120">
        <v>9.8000000000000007</v>
      </c>
      <c r="L120">
        <v>2</v>
      </c>
      <c r="M120">
        <v>1</v>
      </c>
      <c r="N120">
        <v>1</v>
      </c>
      <c r="O120">
        <v>64</v>
      </c>
      <c r="P120">
        <v>64</v>
      </c>
      <c r="Q120">
        <v>64</v>
      </c>
      <c r="R120">
        <v>1</v>
      </c>
      <c r="S120">
        <v>5</v>
      </c>
      <c r="T120">
        <v>2.1428199999999999E-4</v>
      </c>
      <c r="U120">
        <v>3.3816400000000001E-4</v>
      </c>
      <c r="V120">
        <v>0.54446465700000002</v>
      </c>
      <c r="W120">
        <v>2.51446E-4</v>
      </c>
      <c r="X120">
        <v>9.3333333000000004E-2</v>
      </c>
      <c r="Y120">
        <v>0.300282618</v>
      </c>
      <c r="Z120">
        <v>1</v>
      </c>
      <c r="AA120">
        <v>1</v>
      </c>
      <c r="AB120">
        <v>1</v>
      </c>
      <c r="AC120">
        <v>0</v>
      </c>
      <c r="AD120">
        <v>1</v>
      </c>
    </row>
    <row r="121" spans="1:30" x14ac:dyDescent="0.25">
      <c r="A121" t="s">
        <v>492</v>
      </c>
      <c r="B121" t="s">
        <v>267</v>
      </c>
      <c r="C121" t="s">
        <v>30</v>
      </c>
      <c r="D121" t="s">
        <v>30</v>
      </c>
      <c r="E121" t="s">
        <v>49</v>
      </c>
      <c r="F121">
        <v>56</v>
      </c>
      <c r="G121">
        <v>15</v>
      </c>
      <c r="H121">
        <v>0.43076923099999997</v>
      </c>
      <c r="I121">
        <v>3</v>
      </c>
      <c r="J121">
        <v>8.9333333330000002</v>
      </c>
      <c r="K121">
        <v>10</v>
      </c>
      <c r="L121">
        <v>3</v>
      </c>
      <c r="M121">
        <v>0.33333333300000001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0.69173596699999995</v>
      </c>
      <c r="W121">
        <v>0</v>
      </c>
      <c r="X121">
        <v>0.14000000000000001</v>
      </c>
      <c r="Y121">
        <v>0.38786798300000003</v>
      </c>
      <c r="Z121">
        <v>1</v>
      </c>
      <c r="AA121">
        <v>1</v>
      </c>
      <c r="AB121">
        <v>1</v>
      </c>
      <c r="AC121">
        <v>1</v>
      </c>
      <c r="AD121">
        <v>0</v>
      </c>
    </row>
    <row r="122" spans="1:30" x14ac:dyDescent="0.25">
      <c r="A122" t="s">
        <v>493</v>
      </c>
      <c r="B122" t="s">
        <v>268</v>
      </c>
      <c r="C122" t="s">
        <v>30</v>
      </c>
      <c r="D122" t="s">
        <v>30</v>
      </c>
      <c r="E122" t="s">
        <v>90</v>
      </c>
      <c r="F122">
        <v>20</v>
      </c>
      <c r="G122">
        <v>7</v>
      </c>
      <c r="H122">
        <v>0.15384615400000001</v>
      </c>
      <c r="I122">
        <v>1</v>
      </c>
      <c r="J122">
        <v>7.8</v>
      </c>
      <c r="K122">
        <v>7.8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0.52455821199999997</v>
      </c>
      <c r="W122">
        <v>0</v>
      </c>
      <c r="X122">
        <v>4.6666667000000002E-2</v>
      </c>
      <c r="Y122">
        <v>0.276279106</v>
      </c>
      <c r="Z122">
        <v>1</v>
      </c>
      <c r="AA122">
        <v>1</v>
      </c>
      <c r="AB122">
        <v>1</v>
      </c>
      <c r="AC122">
        <v>0</v>
      </c>
      <c r="AD122">
        <v>0</v>
      </c>
    </row>
    <row r="123" spans="1:30" x14ac:dyDescent="0.25">
      <c r="A123" t="s">
        <v>494</v>
      </c>
      <c r="B123" t="s">
        <v>269</v>
      </c>
      <c r="C123" t="s">
        <v>30</v>
      </c>
      <c r="D123" t="s">
        <v>30</v>
      </c>
      <c r="E123" t="s">
        <v>67</v>
      </c>
      <c r="F123">
        <v>19</v>
      </c>
      <c r="G123">
        <v>10</v>
      </c>
      <c r="H123">
        <v>0.146153846</v>
      </c>
      <c r="I123">
        <v>4</v>
      </c>
      <c r="J123">
        <v>7.8</v>
      </c>
      <c r="K123">
        <v>7.8</v>
      </c>
      <c r="L123">
        <v>4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0.52071205799999998</v>
      </c>
      <c r="W123">
        <v>0</v>
      </c>
      <c r="X123">
        <v>0.18666666700000001</v>
      </c>
      <c r="Y123">
        <v>0.31635602899999998</v>
      </c>
      <c r="Z123">
        <v>1</v>
      </c>
      <c r="AA123">
        <v>1</v>
      </c>
      <c r="AB123">
        <v>1</v>
      </c>
      <c r="AC123">
        <v>0</v>
      </c>
      <c r="AD123">
        <v>1</v>
      </c>
    </row>
    <row r="124" spans="1:30" x14ac:dyDescent="0.25">
      <c r="A124" t="s">
        <v>495</v>
      </c>
      <c r="B124" t="s">
        <v>270</v>
      </c>
      <c r="C124" t="s">
        <v>30</v>
      </c>
      <c r="D124" t="s">
        <v>31</v>
      </c>
      <c r="E124" t="s">
        <v>271</v>
      </c>
      <c r="F124">
        <v>35</v>
      </c>
      <c r="G124">
        <v>13</v>
      </c>
      <c r="H124">
        <v>0.26923076899999998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2830</v>
      </c>
      <c r="P124">
        <v>2830</v>
      </c>
      <c r="Q124">
        <v>101</v>
      </c>
      <c r="R124">
        <v>28.01980198</v>
      </c>
      <c r="S124">
        <v>182</v>
      </c>
      <c r="T124">
        <v>9.4752770000000007E-3</v>
      </c>
      <c r="U124">
        <v>9.4752770000000007E-3</v>
      </c>
      <c r="V124">
        <v>0.134615385</v>
      </c>
      <c r="W124">
        <v>9.4752770000000007E-3</v>
      </c>
      <c r="X124">
        <v>0</v>
      </c>
      <c r="Y124">
        <v>6.9202747999999994E-2</v>
      </c>
      <c r="Z124">
        <v>1</v>
      </c>
      <c r="AA124">
        <v>1</v>
      </c>
      <c r="AB124">
        <v>0</v>
      </c>
      <c r="AC124">
        <v>0</v>
      </c>
      <c r="AD124">
        <v>1</v>
      </c>
    </row>
    <row r="125" spans="1:30" x14ac:dyDescent="0.25">
      <c r="A125" t="s">
        <v>496</v>
      </c>
      <c r="B125" t="s">
        <v>272</v>
      </c>
      <c r="C125" t="s">
        <v>30</v>
      </c>
      <c r="D125" t="s">
        <v>273</v>
      </c>
      <c r="E125" t="s">
        <v>274</v>
      </c>
      <c r="F125">
        <v>36</v>
      </c>
      <c r="G125">
        <v>12</v>
      </c>
      <c r="H125">
        <v>0.27692307700000002</v>
      </c>
      <c r="I125">
        <v>3</v>
      </c>
      <c r="J125">
        <v>9.4666666670000001</v>
      </c>
      <c r="K125">
        <v>9.8000000000000007</v>
      </c>
      <c r="L125">
        <v>2</v>
      </c>
      <c r="M125">
        <v>0.66666666699999999</v>
      </c>
      <c r="N125">
        <v>0.66666666699999999</v>
      </c>
      <c r="O125">
        <v>7074</v>
      </c>
      <c r="P125">
        <v>7074</v>
      </c>
      <c r="Q125">
        <v>352</v>
      </c>
      <c r="R125">
        <v>56.591999999999999</v>
      </c>
      <c r="S125">
        <v>633</v>
      </c>
      <c r="T125">
        <v>2.3684845E-2</v>
      </c>
      <c r="U125">
        <v>1.9137355000000002E-2</v>
      </c>
      <c r="V125">
        <v>0.54499306999999997</v>
      </c>
      <c r="W125">
        <v>2.2320598000000001E-2</v>
      </c>
      <c r="X125">
        <v>0.11</v>
      </c>
      <c r="Y125">
        <v>0.30996065499999997</v>
      </c>
      <c r="Z125">
        <v>1</v>
      </c>
      <c r="AA125">
        <v>1</v>
      </c>
      <c r="AB125">
        <v>1</v>
      </c>
      <c r="AC125">
        <v>0</v>
      </c>
      <c r="AD125">
        <v>0</v>
      </c>
    </row>
    <row r="126" spans="1:30" x14ac:dyDescent="0.25">
      <c r="A126" t="s">
        <v>497</v>
      </c>
      <c r="B126" t="s">
        <v>275</v>
      </c>
      <c r="C126" t="s">
        <v>30</v>
      </c>
      <c r="D126" t="s">
        <v>276</v>
      </c>
      <c r="E126" t="s">
        <v>277</v>
      </c>
      <c r="F126">
        <v>16</v>
      </c>
      <c r="G126">
        <v>7</v>
      </c>
      <c r="H126">
        <v>0.123076923</v>
      </c>
      <c r="I126">
        <v>5</v>
      </c>
      <c r="J126">
        <v>8.1999999999999993</v>
      </c>
      <c r="K126">
        <v>8.8000000000000007</v>
      </c>
      <c r="L126">
        <v>5</v>
      </c>
      <c r="M126">
        <v>0</v>
      </c>
      <c r="N126">
        <v>1</v>
      </c>
      <c r="O126">
        <v>26749</v>
      </c>
      <c r="P126">
        <v>26749</v>
      </c>
      <c r="Q126">
        <v>197</v>
      </c>
      <c r="R126">
        <v>135.7817259</v>
      </c>
      <c r="S126">
        <v>392</v>
      </c>
      <c r="T126">
        <v>8.9559785000000003E-2</v>
      </c>
      <c r="U126">
        <v>4.5916437999999997E-2</v>
      </c>
      <c r="V126">
        <v>0.51930873200000005</v>
      </c>
      <c r="W126">
        <v>7.6466780999999998E-2</v>
      </c>
      <c r="X126">
        <v>0.233333333</v>
      </c>
      <c r="Y126">
        <v>0.34494772200000001</v>
      </c>
      <c r="Z126">
        <v>1</v>
      </c>
      <c r="AA126">
        <v>1</v>
      </c>
      <c r="AB126">
        <v>1</v>
      </c>
      <c r="AC126">
        <v>1</v>
      </c>
      <c r="AD126">
        <v>1</v>
      </c>
    </row>
    <row r="127" spans="1:30" x14ac:dyDescent="0.25">
      <c r="A127" t="s">
        <v>498</v>
      </c>
      <c r="B127" t="s">
        <v>278</v>
      </c>
      <c r="C127" t="s">
        <v>36</v>
      </c>
      <c r="D127" t="s">
        <v>116</v>
      </c>
      <c r="E127" t="s">
        <v>279</v>
      </c>
      <c r="F127">
        <v>47</v>
      </c>
      <c r="G127">
        <v>15</v>
      </c>
      <c r="H127">
        <v>0.361538462</v>
      </c>
      <c r="I127">
        <v>9</v>
      </c>
      <c r="J127">
        <v>8.8666666670000005</v>
      </c>
      <c r="K127">
        <v>9.8000000000000007</v>
      </c>
      <c r="L127">
        <v>7</v>
      </c>
      <c r="M127">
        <v>0.44444444399999999</v>
      </c>
      <c r="N127">
        <v>0.77777777800000003</v>
      </c>
      <c r="O127">
        <v>298672</v>
      </c>
      <c r="P127">
        <v>298672</v>
      </c>
      <c r="Q127">
        <v>101</v>
      </c>
      <c r="R127">
        <v>2957.1485149999999</v>
      </c>
      <c r="S127">
        <v>7824</v>
      </c>
      <c r="T127">
        <v>1</v>
      </c>
      <c r="U127">
        <v>1</v>
      </c>
      <c r="V127">
        <v>0.59987583700000002</v>
      </c>
      <c r="W127">
        <v>1</v>
      </c>
      <c r="X127">
        <v>0.36</v>
      </c>
      <c r="Y127">
        <v>0.60793791900000005</v>
      </c>
      <c r="Z127">
        <v>1</v>
      </c>
      <c r="AA127">
        <v>1</v>
      </c>
      <c r="AB127">
        <v>1</v>
      </c>
      <c r="AC127">
        <v>1</v>
      </c>
      <c r="AD127">
        <v>1</v>
      </c>
    </row>
    <row r="128" spans="1:30" x14ac:dyDescent="0.25">
      <c r="A128" t="s">
        <v>499</v>
      </c>
      <c r="B128" t="s">
        <v>280</v>
      </c>
      <c r="C128" t="s">
        <v>48</v>
      </c>
      <c r="D128" t="s">
        <v>30</v>
      </c>
      <c r="E128" t="s">
        <v>281</v>
      </c>
      <c r="F128">
        <v>43</v>
      </c>
      <c r="G128">
        <v>13</v>
      </c>
      <c r="H128">
        <v>0.330769231</v>
      </c>
      <c r="I128">
        <v>1</v>
      </c>
      <c r="J128">
        <v>5.5</v>
      </c>
      <c r="K128">
        <v>5.5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0.30474272299999999</v>
      </c>
      <c r="W128">
        <v>0</v>
      </c>
      <c r="X128">
        <v>1.6666667E-2</v>
      </c>
      <c r="Y128">
        <v>0.15737136199999999</v>
      </c>
      <c r="Z128">
        <v>1</v>
      </c>
      <c r="AA128">
        <v>1</v>
      </c>
      <c r="AB128">
        <v>1</v>
      </c>
      <c r="AC128">
        <v>0</v>
      </c>
      <c r="AD128">
        <v>1</v>
      </c>
    </row>
    <row r="129" spans="1:30" x14ac:dyDescent="0.25">
      <c r="A129" t="s">
        <v>500</v>
      </c>
      <c r="B129" t="s">
        <v>282</v>
      </c>
      <c r="C129" t="s">
        <v>30</v>
      </c>
      <c r="D129" t="s">
        <v>283</v>
      </c>
      <c r="E129" t="s">
        <v>284</v>
      </c>
      <c r="F129">
        <v>7</v>
      </c>
      <c r="G129">
        <v>7</v>
      </c>
      <c r="H129">
        <v>5.3846154E-2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24179</v>
      </c>
      <c r="P129">
        <v>24179</v>
      </c>
      <c r="Q129">
        <v>125</v>
      </c>
      <c r="R129">
        <v>193.43199999999999</v>
      </c>
      <c r="S129">
        <v>3012</v>
      </c>
      <c r="T129">
        <v>8.0955027999999998E-2</v>
      </c>
      <c r="U129">
        <v>6.5411661999999995E-2</v>
      </c>
      <c r="V129">
        <v>2.6923077E-2</v>
      </c>
      <c r="W129">
        <v>7.6292018000000003E-2</v>
      </c>
      <c r="X129">
        <v>0</v>
      </c>
      <c r="Y129">
        <v>2.8719941999999998E-2</v>
      </c>
      <c r="Z129">
        <v>1</v>
      </c>
      <c r="AA129">
        <v>1</v>
      </c>
      <c r="AB129">
        <v>0</v>
      </c>
      <c r="AC129">
        <v>0</v>
      </c>
      <c r="AD129">
        <v>1</v>
      </c>
    </row>
    <row r="130" spans="1:30" x14ac:dyDescent="0.25">
      <c r="A130" t="s">
        <v>501</v>
      </c>
      <c r="B130" t="s">
        <v>285</v>
      </c>
      <c r="C130" t="s">
        <v>48</v>
      </c>
      <c r="D130" t="s">
        <v>286</v>
      </c>
      <c r="E130" t="s">
        <v>287</v>
      </c>
      <c r="F130">
        <v>44</v>
      </c>
      <c r="G130">
        <v>14</v>
      </c>
      <c r="H130">
        <v>0.33846153800000001</v>
      </c>
      <c r="I130">
        <v>6</v>
      </c>
      <c r="J130">
        <v>7.9166666670000003</v>
      </c>
      <c r="K130">
        <v>9.8000000000000007</v>
      </c>
      <c r="L130">
        <v>3</v>
      </c>
      <c r="M130">
        <v>0.33333333300000001</v>
      </c>
      <c r="N130">
        <v>0.5</v>
      </c>
      <c r="O130">
        <v>36611</v>
      </c>
      <c r="P130">
        <v>36611</v>
      </c>
      <c r="Q130">
        <v>353</v>
      </c>
      <c r="R130">
        <v>114.392</v>
      </c>
      <c r="S130">
        <v>723</v>
      </c>
      <c r="T130">
        <v>0.122579284</v>
      </c>
      <c r="U130">
        <v>3.8683211000000002E-2</v>
      </c>
      <c r="V130">
        <v>0.49482198500000002</v>
      </c>
      <c r="W130">
        <v>9.7410462000000003E-2</v>
      </c>
      <c r="X130">
        <v>0.19</v>
      </c>
      <c r="Y130">
        <v>0.32389308500000002</v>
      </c>
      <c r="Z130">
        <v>1</v>
      </c>
      <c r="AA130">
        <v>1</v>
      </c>
      <c r="AB130">
        <v>1</v>
      </c>
      <c r="AC130">
        <v>0</v>
      </c>
      <c r="AD130">
        <v>1</v>
      </c>
    </row>
    <row r="131" spans="1:30" x14ac:dyDescent="0.25">
      <c r="A131" t="s">
        <v>502</v>
      </c>
      <c r="B131" t="s">
        <v>288</v>
      </c>
      <c r="C131" t="s">
        <v>30</v>
      </c>
      <c r="D131" t="s">
        <v>289</v>
      </c>
      <c r="E131" t="s">
        <v>290</v>
      </c>
      <c r="F131">
        <v>9</v>
      </c>
      <c r="G131">
        <v>6</v>
      </c>
      <c r="H131">
        <v>6.9230768999999998E-2</v>
      </c>
      <c r="I131">
        <v>2</v>
      </c>
      <c r="J131">
        <v>8.3000000000000007</v>
      </c>
      <c r="K131">
        <v>8.8000000000000007</v>
      </c>
      <c r="L131">
        <v>2</v>
      </c>
      <c r="M131">
        <v>0</v>
      </c>
      <c r="N131">
        <v>1</v>
      </c>
      <c r="O131">
        <v>2830</v>
      </c>
      <c r="P131">
        <v>2830</v>
      </c>
      <c r="Q131">
        <v>153</v>
      </c>
      <c r="R131">
        <v>28.01980198</v>
      </c>
      <c r="S131">
        <v>182</v>
      </c>
      <c r="T131">
        <v>9.4752770000000007E-3</v>
      </c>
      <c r="U131">
        <v>9.4752770000000007E-3</v>
      </c>
      <c r="V131">
        <v>0.49491943900000002</v>
      </c>
      <c r="W131">
        <v>9.4752770000000007E-3</v>
      </c>
      <c r="X131">
        <v>9.3333333000000004E-2</v>
      </c>
      <c r="Y131">
        <v>0.277354775</v>
      </c>
      <c r="Z131">
        <v>1</v>
      </c>
      <c r="AA131">
        <v>1</v>
      </c>
      <c r="AB131">
        <v>1</v>
      </c>
      <c r="AC131">
        <v>0</v>
      </c>
      <c r="AD131">
        <v>1</v>
      </c>
    </row>
    <row r="132" spans="1:30" x14ac:dyDescent="0.25">
      <c r="A132" t="s">
        <v>503</v>
      </c>
      <c r="B132" t="s">
        <v>291</v>
      </c>
      <c r="C132" t="s">
        <v>30</v>
      </c>
      <c r="D132" t="s">
        <v>292</v>
      </c>
      <c r="E132" t="s">
        <v>59</v>
      </c>
      <c r="F132">
        <v>16</v>
      </c>
      <c r="G132">
        <v>7</v>
      </c>
      <c r="H132">
        <v>0.123076923</v>
      </c>
      <c r="I132">
        <v>2</v>
      </c>
      <c r="J132">
        <v>7.8</v>
      </c>
      <c r="K132">
        <v>7.8</v>
      </c>
      <c r="L132">
        <v>2</v>
      </c>
      <c r="M132">
        <v>0</v>
      </c>
      <c r="N132">
        <v>1</v>
      </c>
      <c r="O132">
        <v>33861</v>
      </c>
      <c r="P132">
        <v>33861</v>
      </c>
      <c r="Q132">
        <v>197</v>
      </c>
      <c r="R132">
        <v>270.88799999999998</v>
      </c>
      <c r="S132">
        <v>843</v>
      </c>
      <c r="T132">
        <v>0.11337185900000001</v>
      </c>
      <c r="U132">
        <v>9.1604461999999998E-2</v>
      </c>
      <c r="V132">
        <v>0.50917359699999998</v>
      </c>
      <c r="W132">
        <v>0.10684164</v>
      </c>
      <c r="X132">
        <v>9.3333333000000004E-2</v>
      </c>
      <c r="Y132">
        <v>0.30395512600000002</v>
      </c>
      <c r="Z132">
        <v>1</v>
      </c>
      <c r="AA132">
        <v>1</v>
      </c>
      <c r="AB132">
        <v>1</v>
      </c>
      <c r="AC132">
        <v>0</v>
      </c>
      <c r="AD132">
        <v>1</v>
      </c>
    </row>
    <row r="133" spans="1:30" x14ac:dyDescent="0.25">
      <c r="A133" t="s">
        <v>504</v>
      </c>
      <c r="B133" t="s">
        <v>293</v>
      </c>
      <c r="C133" t="s">
        <v>30</v>
      </c>
      <c r="D133" t="s">
        <v>294</v>
      </c>
      <c r="E133" t="s">
        <v>295</v>
      </c>
      <c r="F133">
        <v>12</v>
      </c>
      <c r="G133">
        <v>8</v>
      </c>
      <c r="H133">
        <v>9.2307691999999997E-2</v>
      </c>
      <c r="I133">
        <v>2</v>
      </c>
      <c r="J133">
        <v>9.8000000000000007</v>
      </c>
      <c r="K133">
        <v>9.8000000000000007</v>
      </c>
      <c r="L133">
        <v>1</v>
      </c>
      <c r="M133">
        <v>1</v>
      </c>
      <c r="N133">
        <v>0.5</v>
      </c>
      <c r="O133">
        <v>33861</v>
      </c>
      <c r="P133">
        <v>33861</v>
      </c>
      <c r="Q133">
        <v>125</v>
      </c>
      <c r="R133">
        <v>270.88799999999998</v>
      </c>
      <c r="S133">
        <v>2238</v>
      </c>
      <c r="T133">
        <v>0.11337185900000001</v>
      </c>
      <c r="U133">
        <v>9.1604461999999998E-2</v>
      </c>
      <c r="V133">
        <v>0.41946465700000002</v>
      </c>
      <c r="W133">
        <v>0.10684164</v>
      </c>
      <c r="X133">
        <v>6.3333333000000006E-2</v>
      </c>
      <c r="Y133">
        <v>0.250100657</v>
      </c>
      <c r="Z133">
        <v>1</v>
      </c>
      <c r="AA133">
        <v>1</v>
      </c>
      <c r="AB133">
        <v>1</v>
      </c>
      <c r="AC133">
        <v>0</v>
      </c>
      <c r="AD133">
        <v>1</v>
      </c>
    </row>
    <row r="134" spans="1:30" x14ac:dyDescent="0.25">
      <c r="A134" t="s">
        <v>505</v>
      </c>
      <c r="B134" t="s">
        <v>296</v>
      </c>
      <c r="C134" t="s">
        <v>48</v>
      </c>
      <c r="D134" t="s">
        <v>30</v>
      </c>
      <c r="E134" t="s">
        <v>220</v>
      </c>
      <c r="F134">
        <v>15</v>
      </c>
      <c r="G134">
        <v>5</v>
      </c>
      <c r="H134">
        <v>0.115384615</v>
      </c>
      <c r="I134">
        <v>1</v>
      </c>
      <c r="J134">
        <v>8.8000000000000007</v>
      </c>
      <c r="K134">
        <v>8.8000000000000007</v>
      </c>
      <c r="L134">
        <v>1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0.53066528099999999</v>
      </c>
      <c r="W134">
        <v>0</v>
      </c>
      <c r="X134">
        <v>4.6666667000000002E-2</v>
      </c>
      <c r="Y134">
        <v>0.27933264000000002</v>
      </c>
      <c r="Z134">
        <v>1</v>
      </c>
      <c r="AA134">
        <v>1</v>
      </c>
      <c r="AB134">
        <v>1</v>
      </c>
      <c r="AC134">
        <v>0</v>
      </c>
      <c r="AD134">
        <v>0</v>
      </c>
    </row>
    <row r="135" spans="1:30" x14ac:dyDescent="0.25">
      <c r="A135" t="s">
        <v>506</v>
      </c>
      <c r="B135" t="s">
        <v>297</v>
      </c>
      <c r="C135" t="s">
        <v>30</v>
      </c>
      <c r="D135" t="s">
        <v>37</v>
      </c>
      <c r="E135" t="s">
        <v>298</v>
      </c>
      <c r="F135">
        <v>19</v>
      </c>
      <c r="G135">
        <v>8</v>
      </c>
      <c r="H135">
        <v>0.146153846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5342</v>
      </c>
      <c r="P135">
        <v>5342</v>
      </c>
      <c r="Q135">
        <v>125</v>
      </c>
      <c r="R135">
        <v>42.735999999999997</v>
      </c>
      <c r="S135">
        <v>2238</v>
      </c>
      <c r="T135">
        <v>1.7885841E-2</v>
      </c>
      <c r="U135">
        <v>1.4451759999999999E-2</v>
      </c>
      <c r="V135">
        <v>7.3076923000000002E-2</v>
      </c>
      <c r="W135">
        <v>1.6855617E-2</v>
      </c>
      <c r="X135">
        <v>0</v>
      </c>
      <c r="Y135">
        <v>3.9909584999999997E-2</v>
      </c>
      <c r="Z135">
        <v>1</v>
      </c>
      <c r="AA135">
        <v>1</v>
      </c>
      <c r="AB135">
        <v>0</v>
      </c>
      <c r="AC135">
        <v>0</v>
      </c>
      <c r="AD135">
        <v>0</v>
      </c>
    </row>
    <row r="136" spans="1:30" x14ac:dyDescent="0.25">
      <c r="A136" t="s">
        <v>507</v>
      </c>
      <c r="B136" t="s">
        <v>299</v>
      </c>
      <c r="C136" t="s">
        <v>30</v>
      </c>
      <c r="D136" t="s">
        <v>30</v>
      </c>
      <c r="E136" t="s">
        <v>300</v>
      </c>
      <c r="F136">
        <v>9</v>
      </c>
      <c r="G136">
        <v>6</v>
      </c>
      <c r="H136">
        <v>6.9230768999999998E-2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3.4615384999999999E-2</v>
      </c>
      <c r="W136">
        <v>0</v>
      </c>
      <c r="X136">
        <v>0</v>
      </c>
      <c r="Y136">
        <v>1.7307692E-2</v>
      </c>
      <c r="Z136">
        <v>1</v>
      </c>
      <c r="AA136">
        <v>1</v>
      </c>
      <c r="AB136">
        <v>0</v>
      </c>
      <c r="AC136">
        <v>0</v>
      </c>
      <c r="AD136">
        <v>0</v>
      </c>
    </row>
    <row r="137" spans="1:30" x14ac:dyDescent="0.25">
      <c r="A137" t="s">
        <v>508</v>
      </c>
      <c r="B137" t="s">
        <v>301</v>
      </c>
      <c r="C137" t="s">
        <v>30</v>
      </c>
      <c r="D137" t="s">
        <v>302</v>
      </c>
      <c r="E137" t="s">
        <v>59</v>
      </c>
      <c r="F137">
        <v>28</v>
      </c>
      <c r="G137">
        <v>13</v>
      </c>
      <c r="H137">
        <v>0.215384615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67703</v>
      </c>
      <c r="P137">
        <v>67703</v>
      </c>
      <c r="Q137">
        <v>197</v>
      </c>
      <c r="R137">
        <v>343.67005080000001</v>
      </c>
      <c r="S137">
        <v>1461</v>
      </c>
      <c r="T137">
        <v>0.22668010399999999</v>
      </c>
      <c r="U137">
        <v>0.116216703</v>
      </c>
      <c r="V137">
        <v>0.107692308</v>
      </c>
      <c r="W137">
        <v>0.193541084</v>
      </c>
      <c r="X137">
        <v>0</v>
      </c>
      <c r="Y137">
        <v>9.2554370999999996E-2</v>
      </c>
      <c r="Z137">
        <v>1</v>
      </c>
      <c r="AA137">
        <v>1</v>
      </c>
      <c r="AB137">
        <v>0</v>
      </c>
      <c r="AC137">
        <v>0</v>
      </c>
      <c r="AD137">
        <v>1</v>
      </c>
    </row>
    <row r="138" spans="1:30" x14ac:dyDescent="0.25">
      <c r="A138" t="s">
        <v>509</v>
      </c>
      <c r="B138" t="s">
        <v>303</v>
      </c>
      <c r="C138" t="s">
        <v>48</v>
      </c>
      <c r="D138" t="s">
        <v>30</v>
      </c>
      <c r="E138" t="s">
        <v>304</v>
      </c>
      <c r="F138">
        <v>64</v>
      </c>
      <c r="G138">
        <v>15</v>
      </c>
      <c r="H138">
        <v>0.49230769200000002</v>
      </c>
      <c r="I138">
        <v>4</v>
      </c>
      <c r="J138">
        <v>7.9249999999999998</v>
      </c>
      <c r="K138">
        <v>10</v>
      </c>
      <c r="L138">
        <v>3</v>
      </c>
      <c r="M138">
        <v>0.25</v>
      </c>
      <c r="N138">
        <v>0.75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0.63445621100000005</v>
      </c>
      <c r="W138">
        <v>0</v>
      </c>
      <c r="X138">
        <v>0.15666666700000001</v>
      </c>
      <c r="Y138">
        <v>0.364228106</v>
      </c>
      <c r="Z138">
        <v>1</v>
      </c>
      <c r="AA138">
        <v>1</v>
      </c>
      <c r="AB138">
        <v>1</v>
      </c>
      <c r="AC138">
        <v>1</v>
      </c>
      <c r="AD138">
        <v>1</v>
      </c>
    </row>
    <row r="139" spans="1:30" x14ac:dyDescent="0.25">
      <c r="A139" t="s">
        <v>510</v>
      </c>
      <c r="B139" t="s">
        <v>305</v>
      </c>
      <c r="C139" t="s">
        <v>48</v>
      </c>
      <c r="D139" t="s">
        <v>306</v>
      </c>
      <c r="E139" t="s">
        <v>307</v>
      </c>
      <c r="F139">
        <v>53</v>
      </c>
      <c r="G139">
        <v>14</v>
      </c>
      <c r="H139">
        <v>0.407692308</v>
      </c>
      <c r="I139">
        <v>6</v>
      </c>
      <c r="J139">
        <v>9.4</v>
      </c>
      <c r="K139">
        <v>10</v>
      </c>
      <c r="L139">
        <v>4</v>
      </c>
      <c r="M139">
        <v>0.83333333300000001</v>
      </c>
      <c r="N139">
        <v>0.66666666699999999</v>
      </c>
      <c r="O139">
        <v>62538</v>
      </c>
      <c r="P139">
        <v>62538</v>
      </c>
      <c r="Q139">
        <v>101</v>
      </c>
      <c r="R139">
        <v>619.18811879999998</v>
      </c>
      <c r="S139">
        <v>840</v>
      </c>
      <c r="T139">
        <v>0.20938688599999999</v>
      </c>
      <c r="U139">
        <v>0.20938688599999999</v>
      </c>
      <c r="V139">
        <v>0.60868849599999997</v>
      </c>
      <c r="W139">
        <v>0.20938688599999999</v>
      </c>
      <c r="X139">
        <v>0.22</v>
      </c>
      <c r="Y139">
        <v>0.41222162499999998</v>
      </c>
      <c r="Z139">
        <v>1</v>
      </c>
      <c r="AA139">
        <v>1</v>
      </c>
      <c r="AB139">
        <v>1</v>
      </c>
      <c r="AC139">
        <v>1</v>
      </c>
      <c r="AD139">
        <v>0</v>
      </c>
    </row>
    <row r="140" spans="1:30" x14ac:dyDescent="0.25">
      <c r="A140" t="s">
        <v>511</v>
      </c>
      <c r="B140" t="s">
        <v>308</v>
      </c>
      <c r="C140" t="s">
        <v>36</v>
      </c>
      <c r="D140" t="s">
        <v>309</v>
      </c>
      <c r="E140" t="s">
        <v>310</v>
      </c>
      <c r="F140">
        <v>81</v>
      </c>
      <c r="G140">
        <v>13</v>
      </c>
      <c r="H140">
        <v>0.62307692299999995</v>
      </c>
      <c r="I140">
        <v>2</v>
      </c>
      <c r="J140">
        <v>9.8000000000000007</v>
      </c>
      <c r="K140">
        <v>9.8000000000000007</v>
      </c>
      <c r="L140">
        <v>1</v>
      </c>
      <c r="M140">
        <v>1</v>
      </c>
      <c r="N140">
        <v>0.5</v>
      </c>
      <c r="O140">
        <v>2830</v>
      </c>
      <c r="P140">
        <v>2830</v>
      </c>
      <c r="Q140">
        <v>101</v>
      </c>
      <c r="R140">
        <v>28.01980198</v>
      </c>
      <c r="S140">
        <v>182</v>
      </c>
      <c r="T140">
        <v>9.4752770000000007E-3</v>
      </c>
      <c r="U140">
        <v>9.4752770000000007E-3</v>
      </c>
      <c r="V140">
        <v>0.68484927200000001</v>
      </c>
      <c r="W140">
        <v>9.4752770000000007E-3</v>
      </c>
      <c r="X140">
        <v>6.3333333000000006E-2</v>
      </c>
      <c r="Y140">
        <v>0.36331969200000003</v>
      </c>
      <c r="Z140">
        <v>1</v>
      </c>
      <c r="AA140">
        <v>1</v>
      </c>
      <c r="AB140">
        <v>1</v>
      </c>
      <c r="AC140">
        <v>1</v>
      </c>
      <c r="AD140">
        <v>0</v>
      </c>
    </row>
    <row r="141" spans="1:30" x14ac:dyDescent="0.25">
      <c r="A141" t="s">
        <v>512</v>
      </c>
      <c r="B141" t="s">
        <v>311</v>
      </c>
      <c r="C141" t="s">
        <v>48</v>
      </c>
      <c r="D141" t="s">
        <v>30</v>
      </c>
      <c r="E141" t="s">
        <v>312</v>
      </c>
      <c r="F141">
        <v>28</v>
      </c>
      <c r="G141">
        <v>9</v>
      </c>
      <c r="H141">
        <v>0.215384615</v>
      </c>
      <c r="I141">
        <v>1</v>
      </c>
      <c r="J141">
        <v>7.8</v>
      </c>
      <c r="K141">
        <v>7.8</v>
      </c>
      <c r="L141">
        <v>1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0.55532744300000003</v>
      </c>
      <c r="W141">
        <v>0</v>
      </c>
      <c r="X141">
        <v>4.6666667000000002E-2</v>
      </c>
      <c r="Y141">
        <v>0.29166372099999999</v>
      </c>
      <c r="Z141">
        <v>1</v>
      </c>
      <c r="AA141">
        <v>1</v>
      </c>
      <c r="AB141">
        <v>1</v>
      </c>
      <c r="AC141">
        <v>0</v>
      </c>
      <c r="AD141">
        <v>1</v>
      </c>
    </row>
    <row r="142" spans="1:30" x14ac:dyDescent="0.25">
      <c r="A142" t="s">
        <v>513</v>
      </c>
      <c r="B142" t="s">
        <v>313</v>
      </c>
      <c r="C142" t="s">
        <v>30</v>
      </c>
      <c r="D142" t="s">
        <v>314</v>
      </c>
      <c r="E142" t="s">
        <v>34</v>
      </c>
      <c r="F142">
        <v>8</v>
      </c>
      <c r="G142">
        <v>6</v>
      </c>
      <c r="H142">
        <v>6.1538462000000002E-2</v>
      </c>
      <c r="I142">
        <v>1</v>
      </c>
      <c r="J142">
        <v>7.8</v>
      </c>
      <c r="K142">
        <v>7.8</v>
      </c>
      <c r="L142">
        <v>1</v>
      </c>
      <c r="M142">
        <v>0</v>
      </c>
      <c r="N142">
        <v>1</v>
      </c>
      <c r="O142">
        <v>260</v>
      </c>
      <c r="P142">
        <v>260</v>
      </c>
      <c r="Q142">
        <v>87</v>
      </c>
      <c r="R142">
        <v>2.988505747</v>
      </c>
      <c r="S142">
        <v>48</v>
      </c>
      <c r="T142">
        <v>8.7051999999999995E-4</v>
      </c>
      <c r="U142">
        <v>1.010604E-3</v>
      </c>
      <c r="V142">
        <v>0.47840436600000003</v>
      </c>
      <c r="W142">
        <v>9.1254499999999996E-4</v>
      </c>
      <c r="X142">
        <v>4.6666667000000002E-2</v>
      </c>
      <c r="Y142">
        <v>0.25338469200000002</v>
      </c>
      <c r="Z142">
        <v>1</v>
      </c>
      <c r="AA142">
        <v>0</v>
      </c>
      <c r="AB142">
        <v>1</v>
      </c>
      <c r="AC142">
        <v>0</v>
      </c>
      <c r="AD142">
        <v>0</v>
      </c>
    </row>
    <row r="143" spans="1:30" x14ac:dyDescent="0.25">
      <c r="A143" t="s">
        <v>514</v>
      </c>
      <c r="B143" t="s">
        <v>315</v>
      </c>
      <c r="C143" t="s">
        <v>48</v>
      </c>
      <c r="D143" t="s">
        <v>30</v>
      </c>
      <c r="E143" t="s">
        <v>198</v>
      </c>
      <c r="F143">
        <v>12</v>
      </c>
      <c r="G143">
        <v>6</v>
      </c>
      <c r="H143">
        <v>9.2307691999999997E-2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4.6153845999999998E-2</v>
      </c>
      <c r="W143">
        <v>0</v>
      </c>
      <c r="X143">
        <v>0</v>
      </c>
      <c r="Y143">
        <v>2.3076922999999999E-2</v>
      </c>
      <c r="Z143">
        <v>1</v>
      </c>
      <c r="AA143">
        <v>1</v>
      </c>
      <c r="AB143">
        <v>0</v>
      </c>
      <c r="AC143">
        <v>0</v>
      </c>
      <c r="AD143">
        <v>0</v>
      </c>
    </row>
    <row r="144" spans="1:30" x14ac:dyDescent="0.25">
      <c r="A144" t="s">
        <v>515</v>
      </c>
      <c r="B144" t="s">
        <v>316</v>
      </c>
      <c r="C144" t="s">
        <v>36</v>
      </c>
      <c r="D144" t="s">
        <v>31</v>
      </c>
      <c r="E144" t="s">
        <v>317</v>
      </c>
      <c r="F144">
        <v>19</v>
      </c>
      <c r="G144">
        <v>11</v>
      </c>
      <c r="H144">
        <v>0.146153846</v>
      </c>
      <c r="I144">
        <v>3</v>
      </c>
      <c r="J144">
        <v>9.8666666670000005</v>
      </c>
      <c r="K144">
        <v>10</v>
      </c>
      <c r="L144">
        <v>2</v>
      </c>
      <c r="M144">
        <v>1</v>
      </c>
      <c r="N144">
        <v>0.66666666699999999</v>
      </c>
      <c r="O144">
        <v>2830</v>
      </c>
      <c r="P144">
        <v>2830</v>
      </c>
      <c r="Q144">
        <v>101</v>
      </c>
      <c r="R144">
        <v>28.01980198</v>
      </c>
      <c r="S144">
        <v>182</v>
      </c>
      <c r="T144">
        <v>9.4752770000000007E-3</v>
      </c>
      <c r="U144">
        <v>9.4752770000000007E-3</v>
      </c>
      <c r="V144">
        <v>0.48974359000000001</v>
      </c>
      <c r="W144">
        <v>9.4752770000000007E-3</v>
      </c>
      <c r="X144">
        <v>0.11</v>
      </c>
      <c r="Y144">
        <v>0.27976685000000001</v>
      </c>
      <c r="Z144">
        <v>1</v>
      </c>
      <c r="AA144">
        <v>1</v>
      </c>
      <c r="AB144">
        <v>1</v>
      </c>
      <c r="AC144">
        <v>0</v>
      </c>
      <c r="AD144">
        <v>1</v>
      </c>
    </row>
    <row r="145" spans="1:30" x14ac:dyDescent="0.25">
      <c r="A145" t="s">
        <v>516</v>
      </c>
      <c r="B145" t="s">
        <v>318</v>
      </c>
      <c r="C145" t="s">
        <v>30</v>
      </c>
      <c r="D145" t="s">
        <v>30</v>
      </c>
      <c r="E145" t="s">
        <v>67</v>
      </c>
      <c r="F145">
        <v>25</v>
      </c>
      <c r="G145">
        <v>11</v>
      </c>
      <c r="H145">
        <v>0.192307692</v>
      </c>
      <c r="I145">
        <v>4</v>
      </c>
      <c r="J145">
        <v>9.2750000000000004</v>
      </c>
      <c r="K145">
        <v>9.8000000000000007</v>
      </c>
      <c r="L145">
        <v>2</v>
      </c>
      <c r="M145">
        <v>0.75</v>
      </c>
      <c r="N145">
        <v>0.5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0.45616229200000002</v>
      </c>
      <c r="W145">
        <v>0</v>
      </c>
      <c r="X145">
        <v>0.12666666700000001</v>
      </c>
      <c r="Y145">
        <v>0.26608114599999999</v>
      </c>
      <c r="Z145">
        <v>1</v>
      </c>
      <c r="AA145">
        <v>1</v>
      </c>
      <c r="AB145">
        <v>1</v>
      </c>
      <c r="AC145">
        <v>0</v>
      </c>
      <c r="AD145">
        <v>1</v>
      </c>
    </row>
    <row r="146" spans="1:30" x14ac:dyDescent="0.25">
      <c r="A146" t="s">
        <v>517</v>
      </c>
      <c r="B146" t="s">
        <v>319</v>
      </c>
      <c r="C146" t="s">
        <v>30</v>
      </c>
      <c r="D146" t="s">
        <v>31</v>
      </c>
      <c r="E146" t="s">
        <v>320</v>
      </c>
      <c r="F146">
        <v>29</v>
      </c>
      <c r="G146">
        <v>11</v>
      </c>
      <c r="H146">
        <v>0.22307692300000001</v>
      </c>
      <c r="I146">
        <v>3</v>
      </c>
      <c r="J146">
        <v>9.8000000000000007</v>
      </c>
      <c r="K146">
        <v>9.8000000000000007</v>
      </c>
      <c r="L146">
        <v>2</v>
      </c>
      <c r="M146">
        <v>1</v>
      </c>
      <c r="N146">
        <v>0.66666666699999999</v>
      </c>
      <c r="O146">
        <v>2830</v>
      </c>
      <c r="P146">
        <v>2830</v>
      </c>
      <c r="Q146">
        <v>101</v>
      </c>
      <c r="R146">
        <v>28.01980198</v>
      </c>
      <c r="S146">
        <v>182</v>
      </c>
      <c r="T146">
        <v>9.4752770000000007E-3</v>
      </c>
      <c r="U146">
        <v>9.4752770000000007E-3</v>
      </c>
      <c r="V146">
        <v>0.52651593900000004</v>
      </c>
      <c r="W146">
        <v>9.4752770000000007E-3</v>
      </c>
      <c r="X146">
        <v>0.11</v>
      </c>
      <c r="Y146">
        <v>0.29815302500000002</v>
      </c>
      <c r="Z146">
        <v>1</v>
      </c>
      <c r="AA146">
        <v>1</v>
      </c>
      <c r="AB146">
        <v>1</v>
      </c>
      <c r="AC146">
        <v>0</v>
      </c>
      <c r="AD146">
        <v>1</v>
      </c>
    </row>
    <row r="147" spans="1:30" x14ac:dyDescent="0.25">
      <c r="A147" t="s">
        <v>518</v>
      </c>
      <c r="B147" t="s">
        <v>321</v>
      </c>
      <c r="C147" t="s">
        <v>48</v>
      </c>
      <c r="D147" t="s">
        <v>30</v>
      </c>
      <c r="E147" t="s">
        <v>198</v>
      </c>
      <c r="F147">
        <v>17</v>
      </c>
      <c r="G147">
        <v>13</v>
      </c>
      <c r="H147">
        <v>0.13076923100000001</v>
      </c>
      <c r="I147">
        <v>2</v>
      </c>
      <c r="J147">
        <v>9.1999999999999993</v>
      </c>
      <c r="K147">
        <v>10</v>
      </c>
      <c r="L147">
        <v>2</v>
      </c>
      <c r="M147">
        <v>0.5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0.54849272299999996</v>
      </c>
      <c r="W147">
        <v>0</v>
      </c>
      <c r="X147">
        <v>9.3333333000000004E-2</v>
      </c>
      <c r="Y147">
        <v>0.30224636199999999</v>
      </c>
      <c r="Z147">
        <v>1</v>
      </c>
      <c r="AA147">
        <v>1</v>
      </c>
      <c r="AB147">
        <v>1</v>
      </c>
      <c r="AC147">
        <v>0</v>
      </c>
      <c r="AD147">
        <v>0</v>
      </c>
    </row>
    <row r="148" spans="1:30" x14ac:dyDescent="0.25">
      <c r="A148" t="s">
        <v>519</v>
      </c>
      <c r="B148" t="s">
        <v>322</v>
      </c>
      <c r="C148" t="s">
        <v>48</v>
      </c>
      <c r="D148" t="s">
        <v>323</v>
      </c>
      <c r="E148" t="s">
        <v>324</v>
      </c>
      <c r="F148">
        <v>12</v>
      </c>
      <c r="G148">
        <v>7</v>
      </c>
      <c r="H148">
        <v>9.2307691999999997E-2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70010</v>
      </c>
      <c r="P148">
        <v>70010</v>
      </c>
      <c r="Q148">
        <v>101</v>
      </c>
      <c r="R148">
        <v>693.16831679999996</v>
      </c>
      <c r="S148">
        <v>1027</v>
      </c>
      <c r="T148">
        <v>0.23440429600000001</v>
      </c>
      <c r="U148">
        <v>0.23440429600000001</v>
      </c>
      <c r="V148">
        <v>4.6153845999999998E-2</v>
      </c>
      <c r="W148">
        <v>0.23440429600000001</v>
      </c>
      <c r="X148">
        <v>0</v>
      </c>
      <c r="Y148">
        <v>6.9957781999999996E-2</v>
      </c>
      <c r="Z148">
        <v>1</v>
      </c>
      <c r="AA148">
        <v>1</v>
      </c>
      <c r="AB148">
        <v>0</v>
      </c>
      <c r="AC148">
        <v>0</v>
      </c>
      <c r="AD148">
        <v>0</v>
      </c>
    </row>
    <row r="149" spans="1:30" x14ac:dyDescent="0.25">
      <c r="A149" t="s">
        <v>520</v>
      </c>
      <c r="B149" t="s">
        <v>325</v>
      </c>
      <c r="C149" t="s">
        <v>30</v>
      </c>
      <c r="D149" t="s">
        <v>326</v>
      </c>
      <c r="E149" t="s">
        <v>43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7074</v>
      </c>
      <c r="P149">
        <v>7074</v>
      </c>
      <c r="Q149">
        <v>125</v>
      </c>
      <c r="R149">
        <v>56.591999999999999</v>
      </c>
      <c r="S149">
        <v>633</v>
      </c>
      <c r="T149">
        <v>2.3684845E-2</v>
      </c>
      <c r="U149">
        <v>1.9137355000000002E-2</v>
      </c>
      <c r="V149">
        <v>0</v>
      </c>
      <c r="W149">
        <v>2.2320598000000001E-2</v>
      </c>
      <c r="X149">
        <v>0</v>
      </c>
      <c r="Y149">
        <v>4.4641200000000002E-3</v>
      </c>
      <c r="Z149">
        <v>1</v>
      </c>
      <c r="AA149">
        <v>1</v>
      </c>
      <c r="AB149">
        <v>0</v>
      </c>
      <c r="AC149">
        <v>0</v>
      </c>
      <c r="AD149">
        <v>1</v>
      </c>
    </row>
    <row r="150" spans="1:30" x14ac:dyDescent="0.25">
      <c r="A150" t="s">
        <v>521</v>
      </c>
      <c r="B150" t="s">
        <v>327</v>
      </c>
      <c r="C150" t="s">
        <v>48</v>
      </c>
      <c r="D150" t="s">
        <v>328</v>
      </c>
      <c r="E150" t="s">
        <v>329</v>
      </c>
      <c r="F150">
        <v>22</v>
      </c>
      <c r="G150">
        <v>12</v>
      </c>
      <c r="H150">
        <v>0.169230769</v>
      </c>
      <c r="I150">
        <v>3</v>
      </c>
      <c r="J150">
        <v>9.8000000000000007</v>
      </c>
      <c r="K150">
        <v>9.8000000000000007</v>
      </c>
      <c r="L150">
        <v>2</v>
      </c>
      <c r="M150">
        <v>1</v>
      </c>
      <c r="N150">
        <v>0.66666666699999999</v>
      </c>
      <c r="O150">
        <v>7074</v>
      </c>
      <c r="P150">
        <v>7074</v>
      </c>
      <c r="Q150">
        <v>125</v>
      </c>
      <c r="R150">
        <v>56.591999999999999</v>
      </c>
      <c r="S150">
        <v>2238</v>
      </c>
      <c r="T150">
        <v>2.3684845E-2</v>
      </c>
      <c r="U150">
        <v>1.9137355000000002E-2</v>
      </c>
      <c r="V150">
        <v>0.49959286200000003</v>
      </c>
      <c r="W150">
        <v>2.2320598000000001E-2</v>
      </c>
      <c r="X150">
        <v>0.11</v>
      </c>
      <c r="Y150">
        <v>0.28726055099999998</v>
      </c>
      <c r="Z150">
        <v>1</v>
      </c>
      <c r="AA150">
        <v>1</v>
      </c>
      <c r="AB150">
        <v>1</v>
      </c>
      <c r="AC150">
        <v>0</v>
      </c>
      <c r="AD150">
        <v>1</v>
      </c>
    </row>
    <row r="151" spans="1:30" x14ac:dyDescent="0.25">
      <c r="A151" t="s">
        <v>522</v>
      </c>
      <c r="B151" t="s">
        <v>330</v>
      </c>
      <c r="C151" t="s">
        <v>30</v>
      </c>
      <c r="D151" t="s">
        <v>331</v>
      </c>
      <c r="E151" t="s">
        <v>218</v>
      </c>
      <c r="F151">
        <v>18</v>
      </c>
      <c r="G151">
        <v>8</v>
      </c>
      <c r="H151">
        <v>0.138461538</v>
      </c>
      <c r="I151">
        <v>2</v>
      </c>
      <c r="J151">
        <v>8.8000000000000007</v>
      </c>
      <c r="K151">
        <v>9.8000000000000007</v>
      </c>
      <c r="L151">
        <v>2</v>
      </c>
      <c r="M151">
        <v>0.5</v>
      </c>
      <c r="N151">
        <v>1</v>
      </c>
      <c r="O151">
        <v>298672</v>
      </c>
      <c r="P151">
        <v>298672</v>
      </c>
      <c r="Q151">
        <v>101</v>
      </c>
      <c r="R151">
        <v>2957.1485149999999</v>
      </c>
      <c r="S151">
        <v>7824</v>
      </c>
      <c r="T151">
        <v>1</v>
      </c>
      <c r="U151">
        <v>1</v>
      </c>
      <c r="V151">
        <v>0.54220374199999999</v>
      </c>
      <c r="W151">
        <v>1</v>
      </c>
      <c r="X151">
        <v>9.3333333000000004E-2</v>
      </c>
      <c r="Y151">
        <v>0.49910187099999997</v>
      </c>
      <c r="Z151">
        <v>1</v>
      </c>
      <c r="AA151">
        <v>1</v>
      </c>
      <c r="AB151">
        <v>1</v>
      </c>
      <c r="AC151">
        <v>1</v>
      </c>
      <c r="AD151">
        <v>1</v>
      </c>
    </row>
    <row r="152" spans="1:30" x14ac:dyDescent="0.25">
      <c r="A152" t="s">
        <v>523</v>
      </c>
      <c r="B152" t="s">
        <v>332</v>
      </c>
      <c r="C152" t="s">
        <v>48</v>
      </c>
      <c r="D152" t="s">
        <v>30</v>
      </c>
      <c r="E152" t="s">
        <v>333</v>
      </c>
      <c r="F152">
        <v>25</v>
      </c>
      <c r="G152">
        <v>13</v>
      </c>
      <c r="H152">
        <v>0.192307692</v>
      </c>
      <c r="I152">
        <v>5</v>
      </c>
      <c r="J152">
        <v>9.56</v>
      </c>
      <c r="K152">
        <v>10</v>
      </c>
      <c r="L152">
        <v>4</v>
      </c>
      <c r="M152">
        <v>0.8</v>
      </c>
      <c r="N152">
        <v>0.8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0.53838357599999997</v>
      </c>
      <c r="W152">
        <v>0</v>
      </c>
      <c r="X152">
        <v>0.203333333</v>
      </c>
      <c r="Y152">
        <v>0.33019178799999999</v>
      </c>
      <c r="Z152">
        <v>1</v>
      </c>
      <c r="AA152">
        <v>1</v>
      </c>
      <c r="AB152">
        <v>1</v>
      </c>
      <c r="AC152">
        <v>0</v>
      </c>
      <c r="AD152">
        <v>0</v>
      </c>
    </row>
    <row r="153" spans="1:30" x14ac:dyDescent="0.25">
      <c r="A153" t="s">
        <v>524</v>
      </c>
      <c r="B153" t="s">
        <v>334</v>
      </c>
      <c r="C153" t="s">
        <v>30</v>
      </c>
      <c r="D153" t="s">
        <v>61</v>
      </c>
      <c r="E153" t="s">
        <v>335</v>
      </c>
      <c r="F153">
        <v>20</v>
      </c>
      <c r="G153">
        <v>10</v>
      </c>
      <c r="H153">
        <v>0.15384615400000001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39560</v>
      </c>
      <c r="P153">
        <v>39560</v>
      </c>
      <c r="Q153">
        <v>101</v>
      </c>
      <c r="R153">
        <v>391.68316829999998</v>
      </c>
      <c r="S153">
        <v>1716</v>
      </c>
      <c r="T153">
        <v>0.13245299199999999</v>
      </c>
      <c r="U153">
        <v>0.13245299199999999</v>
      </c>
      <c r="V153">
        <v>7.6923077000000006E-2</v>
      </c>
      <c r="W153">
        <v>0.13245299199999999</v>
      </c>
      <c r="X153">
        <v>0</v>
      </c>
      <c r="Y153">
        <v>6.4952136999999993E-2</v>
      </c>
      <c r="Z153">
        <v>1</v>
      </c>
      <c r="AA153">
        <v>1</v>
      </c>
      <c r="AB153">
        <v>0</v>
      </c>
      <c r="AC153">
        <v>0</v>
      </c>
      <c r="AD153">
        <v>1</v>
      </c>
    </row>
    <row r="154" spans="1:30" x14ac:dyDescent="0.25">
      <c r="A154" t="s">
        <v>525</v>
      </c>
      <c r="B154" t="s">
        <v>336</v>
      </c>
      <c r="C154" t="s">
        <v>30</v>
      </c>
      <c r="D154" t="s">
        <v>31</v>
      </c>
      <c r="E154" t="s">
        <v>337</v>
      </c>
      <c r="F154">
        <v>17</v>
      </c>
      <c r="G154">
        <v>10</v>
      </c>
      <c r="H154">
        <v>0.13076923100000001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2830</v>
      </c>
      <c r="P154">
        <v>2830</v>
      </c>
      <c r="Q154">
        <v>101</v>
      </c>
      <c r="R154">
        <v>28.01980198</v>
      </c>
      <c r="S154">
        <v>182</v>
      </c>
      <c r="T154">
        <v>9.4752770000000007E-3</v>
      </c>
      <c r="U154">
        <v>9.4752770000000007E-3</v>
      </c>
      <c r="V154">
        <v>6.5384614999999993E-2</v>
      </c>
      <c r="W154">
        <v>9.4752770000000007E-3</v>
      </c>
      <c r="X154">
        <v>0</v>
      </c>
      <c r="Y154">
        <v>3.4587363000000003E-2</v>
      </c>
      <c r="Z154">
        <v>1</v>
      </c>
      <c r="AA154">
        <v>1</v>
      </c>
      <c r="AB154">
        <v>0</v>
      </c>
      <c r="AC154">
        <v>0</v>
      </c>
      <c r="AD154">
        <v>1</v>
      </c>
    </row>
    <row r="155" spans="1:30" x14ac:dyDescent="0.25">
      <c r="A155" t="s">
        <v>526</v>
      </c>
      <c r="B155" t="s">
        <v>338</v>
      </c>
      <c r="C155" t="s">
        <v>30</v>
      </c>
      <c r="D155" t="s">
        <v>339</v>
      </c>
      <c r="E155" t="s">
        <v>84</v>
      </c>
      <c r="F155">
        <v>27</v>
      </c>
      <c r="G155">
        <v>12</v>
      </c>
      <c r="H155">
        <v>0.20769230799999999</v>
      </c>
      <c r="I155">
        <v>2</v>
      </c>
      <c r="J155">
        <v>9.8000000000000007</v>
      </c>
      <c r="K155">
        <v>9.8000000000000007</v>
      </c>
      <c r="L155">
        <v>1</v>
      </c>
      <c r="M155">
        <v>1</v>
      </c>
      <c r="N155">
        <v>0.5</v>
      </c>
      <c r="O155">
        <v>39560</v>
      </c>
      <c r="P155">
        <v>39560</v>
      </c>
      <c r="Q155">
        <v>125</v>
      </c>
      <c r="R155">
        <v>391.68316829999998</v>
      </c>
      <c r="S155">
        <v>1716</v>
      </c>
      <c r="T155">
        <v>0.13245299199999999</v>
      </c>
      <c r="U155">
        <v>0.13245299199999999</v>
      </c>
      <c r="V155">
        <v>0.47715696499999999</v>
      </c>
      <c r="W155">
        <v>0.13245299199999999</v>
      </c>
      <c r="X155">
        <v>6.3333333000000006E-2</v>
      </c>
      <c r="Y155">
        <v>0.284069081</v>
      </c>
      <c r="Z155">
        <v>1</v>
      </c>
      <c r="AA155">
        <v>1</v>
      </c>
      <c r="AB155">
        <v>1</v>
      </c>
      <c r="AC155">
        <v>0</v>
      </c>
      <c r="AD155">
        <v>1</v>
      </c>
    </row>
    <row r="156" spans="1:30" x14ac:dyDescent="0.25">
      <c r="A156" t="s">
        <v>527</v>
      </c>
      <c r="B156" t="s">
        <v>340</v>
      </c>
      <c r="C156" t="s">
        <v>48</v>
      </c>
      <c r="D156" t="s">
        <v>87</v>
      </c>
      <c r="E156" t="s">
        <v>97</v>
      </c>
      <c r="F156">
        <v>30</v>
      </c>
      <c r="G156">
        <v>11</v>
      </c>
      <c r="H156">
        <v>0.23076923099999999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64</v>
      </c>
      <c r="P156">
        <v>64</v>
      </c>
      <c r="Q156">
        <v>64</v>
      </c>
      <c r="R156">
        <v>1</v>
      </c>
      <c r="S156">
        <v>4</v>
      </c>
      <c r="T156">
        <v>2.1428199999999999E-4</v>
      </c>
      <c r="U156">
        <v>3.3816400000000001E-4</v>
      </c>
      <c r="V156">
        <v>0.115384615</v>
      </c>
      <c r="W156">
        <v>2.51446E-4</v>
      </c>
      <c r="X156">
        <v>0</v>
      </c>
      <c r="Y156">
        <v>5.7742597E-2</v>
      </c>
      <c r="Z156">
        <v>1</v>
      </c>
      <c r="AA156">
        <v>1</v>
      </c>
      <c r="AB156">
        <v>0</v>
      </c>
      <c r="AC156">
        <v>0</v>
      </c>
      <c r="AD156">
        <v>0</v>
      </c>
    </row>
    <row r="157" spans="1:30" x14ac:dyDescent="0.25">
      <c r="A157" t="s">
        <v>528</v>
      </c>
      <c r="B157" t="s">
        <v>341</v>
      </c>
      <c r="C157" t="s">
        <v>30</v>
      </c>
      <c r="D157" t="s">
        <v>30</v>
      </c>
      <c r="E157" t="s">
        <v>198</v>
      </c>
      <c r="F157">
        <v>6</v>
      </c>
      <c r="G157">
        <v>4</v>
      </c>
      <c r="H157">
        <v>4.6153845999999998E-2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2.3076922999999999E-2</v>
      </c>
      <c r="W157">
        <v>0</v>
      </c>
      <c r="X157">
        <v>0</v>
      </c>
      <c r="Y157">
        <v>1.1538461999999999E-2</v>
      </c>
      <c r="Z157">
        <v>1</v>
      </c>
      <c r="AA157">
        <v>1</v>
      </c>
      <c r="AB157">
        <v>0</v>
      </c>
      <c r="AC157">
        <v>0</v>
      </c>
      <c r="AD157">
        <v>0</v>
      </c>
    </row>
    <row r="158" spans="1:30" x14ac:dyDescent="0.25">
      <c r="A158" t="s">
        <v>529</v>
      </c>
      <c r="B158" t="s">
        <v>342</v>
      </c>
      <c r="C158" t="s">
        <v>30</v>
      </c>
      <c r="D158" t="s">
        <v>30</v>
      </c>
      <c r="E158" t="s">
        <v>343</v>
      </c>
      <c r="F158">
        <v>4</v>
      </c>
      <c r="G158">
        <v>3</v>
      </c>
      <c r="H158">
        <v>3.0769231000000001E-2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1.5384615000000001E-2</v>
      </c>
      <c r="W158">
        <v>0</v>
      </c>
      <c r="X158">
        <v>0</v>
      </c>
      <c r="Y158">
        <v>7.6923080000000001E-3</v>
      </c>
      <c r="Z158">
        <v>1</v>
      </c>
      <c r="AA158">
        <v>1</v>
      </c>
      <c r="AB158">
        <v>0</v>
      </c>
      <c r="AC158">
        <v>0</v>
      </c>
      <c r="AD158">
        <v>0</v>
      </c>
    </row>
    <row r="159" spans="1:30" x14ac:dyDescent="0.25">
      <c r="A159" t="s">
        <v>530</v>
      </c>
      <c r="B159" t="s">
        <v>344</v>
      </c>
      <c r="C159" t="s">
        <v>30</v>
      </c>
      <c r="D159" t="s">
        <v>345</v>
      </c>
      <c r="E159" t="s">
        <v>97</v>
      </c>
      <c r="F159">
        <v>41</v>
      </c>
      <c r="G159">
        <v>12</v>
      </c>
      <c r="H159">
        <v>0.31538461499999998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298672</v>
      </c>
      <c r="P159">
        <v>298672</v>
      </c>
      <c r="Q159">
        <v>101</v>
      </c>
      <c r="R159">
        <v>2957.1485149999999</v>
      </c>
      <c r="S159">
        <v>7824</v>
      </c>
      <c r="T159">
        <v>1</v>
      </c>
      <c r="U159">
        <v>1</v>
      </c>
      <c r="V159">
        <v>0.157692308</v>
      </c>
      <c r="W159">
        <v>1</v>
      </c>
      <c r="X159">
        <v>0</v>
      </c>
      <c r="Y159">
        <v>0.27884615400000001</v>
      </c>
      <c r="Z159">
        <v>1</v>
      </c>
      <c r="AA159">
        <v>1</v>
      </c>
      <c r="AB159">
        <v>0</v>
      </c>
      <c r="AC159">
        <v>0</v>
      </c>
      <c r="AD159">
        <v>0</v>
      </c>
    </row>
    <row r="160" spans="1:30" x14ac:dyDescent="0.25">
      <c r="A160" t="s">
        <v>531</v>
      </c>
      <c r="B160" t="s">
        <v>346</v>
      </c>
      <c r="C160" t="s">
        <v>48</v>
      </c>
      <c r="D160" t="s">
        <v>30</v>
      </c>
      <c r="E160" t="s">
        <v>347</v>
      </c>
      <c r="F160">
        <v>26</v>
      </c>
      <c r="G160">
        <v>14</v>
      </c>
      <c r="H160">
        <v>0.2</v>
      </c>
      <c r="I160">
        <v>10</v>
      </c>
      <c r="J160">
        <v>9.56</v>
      </c>
      <c r="K160">
        <v>10</v>
      </c>
      <c r="L160">
        <v>7</v>
      </c>
      <c r="M160">
        <v>0.8</v>
      </c>
      <c r="N160">
        <v>0.7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0.51722973000000005</v>
      </c>
      <c r="W160">
        <v>0</v>
      </c>
      <c r="X160">
        <v>0.37666666700000001</v>
      </c>
      <c r="Y160">
        <v>0.37161486500000002</v>
      </c>
      <c r="Z160">
        <v>1</v>
      </c>
      <c r="AA160">
        <v>1</v>
      </c>
      <c r="AB160">
        <v>1</v>
      </c>
      <c r="AC160">
        <v>1</v>
      </c>
      <c r="AD160">
        <v>1</v>
      </c>
    </row>
    <row r="161" spans="1:30" x14ac:dyDescent="0.25">
      <c r="A161" t="s">
        <v>532</v>
      </c>
      <c r="B161" t="s">
        <v>348</v>
      </c>
      <c r="C161" t="s">
        <v>30</v>
      </c>
      <c r="D161" t="s">
        <v>349</v>
      </c>
      <c r="E161" t="s">
        <v>90</v>
      </c>
      <c r="F161">
        <v>27</v>
      </c>
      <c r="G161">
        <v>10</v>
      </c>
      <c r="H161">
        <v>0.20769230799999999</v>
      </c>
      <c r="I161">
        <v>6</v>
      </c>
      <c r="J161">
        <v>9.1666666669999994</v>
      </c>
      <c r="K161">
        <v>10</v>
      </c>
      <c r="L161">
        <v>4</v>
      </c>
      <c r="M161">
        <v>0.5</v>
      </c>
      <c r="N161">
        <v>0.66666666699999999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0.50277633399999999</v>
      </c>
      <c r="W161">
        <v>0</v>
      </c>
      <c r="X161">
        <v>0.22</v>
      </c>
      <c r="Y161">
        <v>0.317388167</v>
      </c>
      <c r="Z161">
        <v>1</v>
      </c>
      <c r="AA161">
        <v>1</v>
      </c>
      <c r="AB161">
        <v>1</v>
      </c>
      <c r="AC161">
        <v>0</v>
      </c>
      <c r="AD161">
        <v>0</v>
      </c>
    </row>
    <row r="162" spans="1:30" x14ac:dyDescent="0.25">
      <c r="A162" t="s">
        <v>533</v>
      </c>
      <c r="B162" t="s">
        <v>350</v>
      </c>
      <c r="C162" t="s">
        <v>30</v>
      </c>
      <c r="D162" t="s">
        <v>351</v>
      </c>
      <c r="E162" t="s">
        <v>198</v>
      </c>
      <c r="F162">
        <v>5</v>
      </c>
      <c r="G162">
        <v>2</v>
      </c>
      <c r="H162">
        <v>3.8461538000000003E-2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33861</v>
      </c>
      <c r="P162">
        <v>33861</v>
      </c>
      <c r="Q162">
        <v>125</v>
      </c>
      <c r="R162">
        <v>270.88799999999998</v>
      </c>
      <c r="S162">
        <v>843</v>
      </c>
      <c r="T162">
        <v>0.11337185900000001</v>
      </c>
      <c r="U162">
        <v>9.1604461999999998E-2</v>
      </c>
      <c r="V162">
        <v>1.9230769000000002E-2</v>
      </c>
      <c r="W162">
        <v>0.10684164</v>
      </c>
      <c r="X162">
        <v>0</v>
      </c>
      <c r="Y162">
        <v>3.0983713E-2</v>
      </c>
      <c r="Z162">
        <v>1</v>
      </c>
      <c r="AA162">
        <v>1</v>
      </c>
      <c r="AB162">
        <v>0</v>
      </c>
      <c r="AC162">
        <v>0</v>
      </c>
      <c r="AD162">
        <v>0</v>
      </c>
    </row>
    <row r="163" spans="1:30" x14ac:dyDescent="0.25">
      <c r="A163" t="s">
        <v>534</v>
      </c>
      <c r="B163" t="s">
        <v>352</v>
      </c>
      <c r="C163" t="s">
        <v>48</v>
      </c>
      <c r="D163" t="s">
        <v>30</v>
      </c>
      <c r="E163" t="s">
        <v>198</v>
      </c>
      <c r="F163">
        <v>48</v>
      </c>
      <c r="G163">
        <v>14</v>
      </c>
      <c r="H163">
        <v>0.36923076900000001</v>
      </c>
      <c r="I163">
        <v>6</v>
      </c>
      <c r="J163">
        <v>8.8333333330000006</v>
      </c>
      <c r="K163">
        <v>10</v>
      </c>
      <c r="L163">
        <v>5</v>
      </c>
      <c r="M163">
        <v>0.5</v>
      </c>
      <c r="N163">
        <v>0.83333333300000001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0.61676628600000005</v>
      </c>
      <c r="W163">
        <v>0</v>
      </c>
      <c r="X163">
        <v>0.25</v>
      </c>
      <c r="Y163">
        <v>0.38338314299999998</v>
      </c>
      <c r="Z163">
        <v>1</v>
      </c>
      <c r="AA163">
        <v>1</v>
      </c>
      <c r="AB163">
        <v>1</v>
      </c>
      <c r="AC163">
        <v>1</v>
      </c>
      <c r="AD163">
        <v>0</v>
      </c>
    </row>
    <row r="164" spans="1:30" x14ac:dyDescent="0.25">
      <c r="A164" t="s">
        <v>535</v>
      </c>
      <c r="B164" t="s">
        <v>353</v>
      </c>
      <c r="C164" t="s">
        <v>30</v>
      </c>
      <c r="D164" t="s">
        <v>37</v>
      </c>
      <c r="E164" t="s">
        <v>354</v>
      </c>
      <c r="F164">
        <v>32</v>
      </c>
      <c r="G164">
        <v>12</v>
      </c>
      <c r="H164">
        <v>0.24615384600000001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5342</v>
      </c>
      <c r="P164">
        <v>5342</v>
      </c>
      <c r="Q164">
        <v>125</v>
      </c>
      <c r="R164">
        <v>42.735999999999997</v>
      </c>
      <c r="S164">
        <v>2238</v>
      </c>
      <c r="T164">
        <v>1.7885841E-2</v>
      </c>
      <c r="U164">
        <v>1.4451759999999999E-2</v>
      </c>
      <c r="V164">
        <v>0.123076923</v>
      </c>
      <c r="W164">
        <v>1.6855617E-2</v>
      </c>
      <c r="X164">
        <v>0</v>
      </c>
      <c r="Y164">
        <v>6.4909585000000006E-2</v>
      </c>
      <c r="Z164">
        <v>1</v>
      </c>
      <c r="AA164">
        <v>1</v>
      </c>
      <c r="AB164">
        <v>0</v>
      </c>
      <c r="AC164">
        <v>0</v>
      </c>
      <c r="AD164">
        <v>0</v>
      </c>
    </row>
    <row r="165" spans="1:30" x14ac:dyDescent="0.25">
      <c r="A165" t="s">
        <v>536</v>
      </c>
      <c r="B165" t="s">
        <v>355</v>
      </c>
      <c r="C165" t="s">
        <v>30</v>
      </c>
      <c r="D165" t="s">
        <v>31</v>
      </c>
      <c r="E165" t="s">
        <v>261</v>
      </c>
      <c r="F165">
        <v>14</v>
      </c>
      <c r="G165">
        <v>12</v>
      </c>
      <c r="H165">
        <v>0.107692308</v>
      </c>
      <c r="I165">
        <v>3</v>
      </c>
      <c r="J165">
        <v>9.8000000000000007</v>
      </c>
      <c r="K165">
        <v>9.8000000000000007</v>
      </c>
      <c r="L165">
        <v>2</v>
      </c>
      <c r="M165">
        <v>1</v>
      </c>
      <c r="N165">
        <v>0.66666666699999999</v>
      </c>
      <c r="O165">
        <v>2830</v>
      </c>
      <c r="P165">
        <v>2830</v>
      </c>
      <c r="Q165">
        <v>101</v>
      </c>
      <c r="R165">
        <v>28.01980198</v>
      </c>
      <c r="S165">
        <v>182</v>
      </c>
      <c r="T165">
        <v>9.4752770000000007E-3</v>
      </c>
      <c r="U165">
        <v>9.4752770000000007E-3</v>
      </c>
      <c r="V165">
        <v>0.46882363100000002</v>
      </c>
      <c r="W165">
        <v>9.4752770000000007E-3</v>
      </c>
      <c r="X165">
        <v>0.11</v>
      </c>
      <c r="Y165">
        <v>0.269306871</v>
      </c>
      <c r="Z165">
        <v>1</v>
      </c>
      <c r="AA165">
        <v>1</v>
      </c>
      <c r="AB165">
        <v>1</v>
      </c>
      <c r="AC165">
        <v>0</v>
      </c>
      <c r="AD165">
        <v>0</v>
      </c>
    </row>
    <row r="166" spans="1:30" x14ac:dyDescent="0.25">
      <c r="A166" t="s">
        <v>537</v>
      </c>
      <c r="B166" t="s">
        <v>356</v>
      </c>
      <c r="C166" t="s">
        <v>48</v>
      </c>
      <c r="D166" t="s">
        <v>30</v>
      </c>
      <c r="E166" t="s">
        <v>49</v>
      </c>
      <c r="F166">
        <v>31</v>
      </c>
      <c r="G166">
        <v>14</v>
      </c>
      <c r="H166">
        <v>0.238461538</v>
      </c>
      <c r="I166">
        <v>4</v>
      </c>
      <c r="J166">
        <v>9</v>
      </c>
      <c r="K166">
        <v>10</v>
      </c>
      <c r="L166">
        <v>4</v>
      </c>
      <c r="M166">
        <v>0.5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0.59727131</v>
      </c>
      <c r="W166">
        <v>0</v>
      </c>
      <c r="X166">
        <v>0.18666666700000001</v>
      </c>
      <c r="Y166">
        <v>0.35463565499999999</v>
      </c>
      <c r="Z166">
        <v>1</v>
      </c>
      <c r="AA166">
        <v>1</v>
      </c>
      <c r="AB166">
        <v>1</v>
      </c>
      <c r="AC166">
        <v>1</v>
      </c>
      <c r="AD166">
        <v>0</v>
      </c>
    </row>
    <row r="167" spans="1:30" x14ac:dyDescent="0.25">
      <c r="A167" t="s">
        <v>538</v>
      </c>
      <c r="B167" t="s">
        <v>357</v>
      </c>
      <c r="C167" t="s">
        <v>30</v>
      </c>
      <c r="D167" t="s">
        <v>30</v>
      </c>
      <c r="E167" t="s">
        <v>34</v>
      </c>
      <c r="F167">
        <v>22</v>
      </c>
      <c r="G167">
        <v>10</v>
      </c>
      <c r="H167">
        <v>0.169230769</v>
      </c>
      <c r="I167">
        <v>1</v>
      </c>
      <c r="J167">
        <v>6.7</v>
      </c>
      <c r="K167">
        <v>6.7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0.50437889800000002</v>
      </c>
      <c r="W167">
        <v>0</v>
      </c>
      <c r="X167">
        <v>4.6666667000000002E-2</v>
      </c>
      <c r="Y167">
        <v>0.26618944900000002</v>
      </c>
      <c r="Z167">
        <v>1</v>
      </c>
      <c r="AA167">
        <v>0</v>
      </c>
      <c r="AB167">
        <v>1</v>
      </c>
      <c r="AC167">
        <v>0</v>
      </c>
      <c r="AD167">
        <v>0</v>
      </c>
    </row>
    <row r="168" spans="1:30" x14ac:dyDescent="0.25">
      <c r="A168" t="s">
        <v>539</v>
      </c>
      <c r="B168" t="s">
        <v>358</v>
      </c>
      <c r="C168" t="s">
        <v>30</v>
      </c>
      <c r="D168" t="s">
        <v>359</v>
      </c>
      <c r="E168" t="s">
        <v>360</v>
      </c>
      <c r="F168">
        <v>49</v>
      </c>
      <c r="G168">
        <v>13</v>
      </c>
      <c r="H168">
        <v>0.376923077</v>
      </c>
      <c r="I168">
        <v>8</v>
      </c>
      <c r="J168">
        <v>7.7750000000000004</v>
      </c>
      <c r="K168">
        <v>9.8000000000000007</v>
      </c>
      <c r="L168">
        <v>6</v>
      </c>
      <c r="M168">
        <v>0.5</v>
      </c>
      <c r="N168">
        <v>0.75</v>
      </c>
      <c r="O168">
        <v>2830</v>
      </c>
      <c r="P168">
        <v>2830</v>
      </c>
      <c r="Q168">
        <v>101</v>
      </c>
      <c r="R168">
        <v>28.01980198</v>
      </c>
      <c r="S168">
        <v>182</v>
      </c>
      <c r="T168">
        <v>9.4752770000000007E-3</v>
      </c>
      <c r="U168">
        <v>9.4752770000000007E-3</v>
      </c>
      <c r="V168">
        <v>0.57296322799999999</v>
      </c>
      <c r="W168">
        <v>9.4752770000000007E-3</v>
      </c>
      <c r="X168">
        <v>0.31333333299999999</v>
      </c>
      <c r="Y168">
        <v>0.382376669</v>
      </c>
      <c r="Z168">
        <v>1</v>
      </c>
      <c r="AA168">
        <v>1</v>
      </c>
      <c r="AB168">
        <v>1</v>
      </c>
      <c r="AC168">
        <v>1</v>
      </c>
      <c r="AD168">
        <v>1</v>
      </c>
    </row>
    <row r="169" spans="1:30" x14ac:dyDescent="0.25">
      <c r="A169" t="s">
        <v>540</v>
      </c>
      <c r="B169" t="s">
        <v>361</v>
      </c>
      <c r="C169" t="s">
        <v>36</v>
      </c>
      <c r="D169" t="s">
        <v>87</v>
      </c>
      <c r="E169" t="s">
        <v>362</v>
      </c>
      <c r="F169">
        <v>2</v>
      </c>
      <c r="G169">
        <v>2</v>
      </c>
      <c r="H169">
        <v>1.5384615000000001E-2</v>
      </c>
      <c r="I169">
        <v>1</v>
      </c>
      <c r="J169">
        <v>9.6</v>
      </c>
      <c r="K169">
        <v>9.6</v>
      </c>
      <c r="L169">
        <v>1</v>
      </c>
      <c r="M169">
        <v>1</v>
      </c>
      <c r="N169">
        <v>1</v>
      </c>
      <c r="O169">
        <v>64</v>
      </c>
      <c r="P169">
        <v>64</v>
      </c>
      <c r="Q169">
        <v>64</v>
      </c>
      <c r="R169">
        <v>1</v>
      </c>
      <c r="S169">
        <v>4</v>
      </c>
      <c r="T169">
        <v>2.1428199999999999E-4</v>
      </c>
      <c r="U169">
        <v>3.3816400000000001E-4</v>
      </c>
      <c r="V169">
        <v>0.50093555099999998</v>
      </c>
      <c r="W169">
        <v>2.51446E-4</v>
      </c>
      <c r="X169">
        <v>4.6666667000000002E-2</v>
      </c>
      <c r="Y169">
        <v>0.26451806500000002</v>
      </c>
      <c r="Z169">
        <v>1</v>
      </c>
      <c r="AA169">
        <v>1</v>
      </c>
      <c r="AB169">
        <v>1</v>
      </c>
      <c r="AC169">
        <v>0</v>
      </c>
      <c r="AD169">
        <v>1</v>
      </c>
    </row>
    <row r="170" spans="1:30" x14ac:dyDescent="0.25">
      <c r="A170" t="s">
        <v>541</v>
      </c>
      <c r="B170" t="s">
        <v>363</v>
      </c>
      <c r="C170" t="s">
        <v>48</v>
      </c>
      <c r="D170" t="s">
        <v>45</v>
      </c>
      <c r="E170" t="s">
        <v>364</v>
      </c>
      <c r="F170">
        <v>3</v>
      </c>
      <c r="G170">
        <v>2</v>
      </c>
      <c r="H170">
        <v>2.3076922999999999E-2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39560</v>
      </c>
      <c r="P170">
        <v>39560</v>
      </c>
      <c r="Q170">
        <v>101</v>
      </c>
      <c r="R170">
        <v>391.68316829999998</v>
      </c>
      <c r="S170">
        <v>1716</v>
      </c>
      <c r="T170">
        <v>0.13245299199999999</v>
      </c>
      <c r="U170">
        <v>0.13245299199999999</v>
      </c>
      <c r="V170">
        <v>1.1538461999999999E-2</v>
      </c>
      <c r="W170">
        <v>0.13245299199999999</v>
      </c>
      <c r="X170">
        <v>0</v>
      </c>
      <c r="Y170">
        <v>3.2259828999999997E-2</v>
      </c>
      <c r="Z170">
        <v>1</v>
      </c>
      <c r="AA170">
        <v>1</v>
      </c>
      <c r="AB170">
        <v>0</v>
      </c>
      <c r="AC170">
        <v>0</v>
      </c>
      <c r="AD170">
        <v>0</v>
      </c>
    </row>
    <row r="171" spans="1:30" x14ac:dyDescent="0.25">
      <c r="A171" t="s">
        <v>542</v>
      </c>
      <c r="B171" t="s">
        <v>365</v>
      </c>
      <c r="C171" t="s">
        <v>48</v>
      </c>
      <c r="D171" t="s">
        <v>30</v>
      </c>
      <c r="E171" t="s">
        <v>310</v>
      </c>
      <c r="F171">
        <v>57</v>
      </c>
      <c r="G171">
        <v>13</v>
      </c>
      <c r="H171">
        <v>0.43846153799999998</v>
      </c>
      <c r="I171">
        <v>5</v>
      </c>
      <c r="J171">
        <v>9.56</v>
      </c>
      <c r="K171">
        <v>10</v>
      </c>
      <c r="L171">
        <v>4</v>
      </c>
      <c r="M171">
        <v>0.8</v>
      </c>
      <c r="N171">
        <v>0.8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0.66146049900000004</v>
      </c>
      <c r="W171">
        <v>0</v>
      </c>
      <c r="X171">
        <v>0.203333333</v>
      </c>
      <c r="Y171">
        <v>0.39173024899999997</v>
      </c>
      <c r="Z171">
        <v>1</v>
      </c>
      <c r="AA171">
        <v>1</v>
      </c>
      <c r="AB171">
        <v>1</v>
      </c>
      <c r="AC171">
        <v>1</v>
      </c>
      <c r="AD171">
        <v>0</v>
      </c>
    </row>
    <row r="172" spans="1:30" x14ac:dyDescent="0.25">
      <c r="A172" t="s">
        <v>543</v>
      </c>
      <c r="B172" t="s">
        <v>366</v>
      </c>
      <c r="C172" t="s">
        <v>48</v>
      </c>
      <c r="D172" t="s">
        <v>87</v>
      </c>
      <c r="E172" t="s">
        <v>119</v>
      </c>
      <c r="F172">
        <v>54</v>
      </c>
      <c r="G172">
        <v>13</v>
      </c>
      <c r="H172">
        <v>0.41538461500000001</v>
      </c>
      <c r="I172">
        <v>4</v>
      </c>
      <c r="J172">
        <v>9</v>
      </c>
      <c r="K172">
        <v>10</v>
      </c>
      <c r="L172">
        <v>4</v>
      </c>
      <c r="M172">
        <v>0.5</v>
      </c>
      <c r="N172">
        <v>1</v>
      </c>
      <c r="O172">
        <v>64</v>
      </c>
      <c r="P172">
        <v>64</v>
      </c>
      <c r="Q172">
        <v>64</v>
      </c>
      <c r="R172">
        <v>1</v>
      </c>
      <c r="S172">
        <v>4</v>
      </c>
      <c r="T172">
        <v>2.1428199999999999E-4</v>
      </c>
      <c r="U172">
        <v>3.3816400000000001E-4</v>
      </c>
      <c r="V172">
        <v>0.68573284800000001</v>
      </c>
      <c r="W172">
        <v>2.51446E-4</v>
      </c>
      <c r="X172">
        <v>0.18666666700000001</v>
      </c>
      <c r="Y172">
        <v>0.39891671299999998</v>
      </c>
      <c r="Z172">
        <v>1</v>
      </c>
      <c r="AA172">
        <v>1</v>
      </c>
      <c r="AB172">
        <v>1</v>
      </c>
      <c r="AC172">
        <v>1</v>
      </c>
      <c r="AD172">
        <v>0</v>
      </c>
    </row>
    <row r="173" spans="1:30" x14ac:dyDescent="0.25">
      <c r="A173" t="s">
        <v>544</v>
      </c>
      <c r="B173" t="s">
        <v>367</v>
      </c>
      <c r="C173" t="s">
        <v>48</v>
      </c>
      <c r="D173" t="s">
        <v>30</v>
      </c>
      <c r="E173" t="s">
        <v>49</v>
      </c>
      <c r="F173">
        <v>42</v>
      </c>
      <c r="G173">
        <v>14</v>
      </c>
      <c r="H173">
        <v>0.32307692300000002</v>
      </c>
      <c r="I173">
        <v>9</v>
      </c>
      <c r="J173">
        <v>8.9333333330000002</v>
      </c>
      <c r="K173">
        <v>10</v>
      </c>
      <c r="L173">
        <v>7</v>
      </c>
      <c r="M173">
        <v>0.66666666699999999</v>
      </c>
      <c r="N173">
        <v>0.77777777800000003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0.58233425699999997</v>
      </c>
      <c r="W173">
        <v>0</v>
      </c>
      <c r="X173">
        <v>0.36</v>
      </c>
      <c r="Y173">
        <v>0.39916712900000001</v>
      </c>
      <c r="Z173">
        <v>1</v>
      </c>
      <c r="AA173">
        <v>1</v>
      </c>
      <c r="AB173">
        <v>1</v>
      </c>
      <c r="AC173">
        <v>1</v>
      </c>
      <c r="AD173">
        <v>0</v>
      </c>
    </row>
    <row r="174" spans="1:30" x14ac:dyDescent="0.25">
      <c r="A174" t="s">
        <v>545</v>
      </c>
      <c r="B174" t="s">
        <v>368</v>
      </c>
      <c r="C174" t="s">
        <v>30</v>
      </c>
      <c r="D174" t="s">
        <v>31</v>
      </c>
      <c r="E174" t="s">
        <v>369</v>
      </c>
      <c r="F174">
        <v>43</v>
      </c>
      <c r="G174">
        <v>13</v>
      </c>
      <c r="H174">
        <v>0.330769231</v>
      </c>
      <c r="I174">
        <v>12</v>
      </c>
      <c r="J174">
        <v>8.1272727269999994</v>
      </c>
      <c r="K174">
        <v>9.8000000000000007</v>
      </c>
      <c r="L174">
        <v>5</v>
      </c>
      <c r="M174">
        <v>0.25</v>
      </c>
      <c r="N174">
        <v>0.41666666699999999</v>
      </c>
      <c r="O174">
        <v>2830</v>
      </c>
      <c r="P174">
        <v>2830</v>
      </c>
      <c r="Q174">
        <v>101</v>
      </c>
      <c r="R174">
        <v>28.01980198</v>
      </c>
      <c r="S174">
        <v>182</v>
      </c>
      <c r="T174">
        <v>9.4752770000000007E-3</v>
      </c>
      <c r="U174">
        <v>9.4752770000000007E-3</v>
      </c>
      <c r="V174">
        <v>0.47547879999999998</v>
      </c>
      <c r="W174">
        <v>9.4752770000000007E-3</v>
      </c>
      <c r="X174">
        <v>0.35</v>
      </c>
      <c r="Y174">
        <v>0.34463445599999998</v>
      </c>
      <c r="Z174">
        <v>1</v>
      </c>
      <c r="AA174">
        <v>1</v>
      </c>
      <c r="AB174">
        <v>1</v>
      </c>
      <c r="AC174">
        <v>0</v>
      </c>
      <c r="AD174">
        <v>1</v>
      </c>
    </row>
    <row r="175" spans="1:30" x14ac:dyDescent="0.25">
      <c r="A175" t="s">
        <v>546</v>
      </c>
      <c r="B175" t="s">
        <v>370</v>
      </c>
      <c r="C175" t="s">
        <v>30</v>
      </c>
      <c r="D175" t="s">
        <v>371</v>
      </c>
      <c r="E175" t="s">
        <v>59</v>
      </c>
      <c r="F175">
        <v>63</v>
      </c>
      <c r="G175">
        <v>15</v>
      </c>
      <c r="H175">
        <v>0.48461538500000001</v>
      </c>
      <c r="I175">
        <v>5</v>
      </c>
      <c r="J175">
        <v>9.56</v>
      </c>
      <c r="K175">
        <v>10</v>
      </c>
      <c r="L175">
        <v>4</v>
      </c>
      <c r="M175">
        <v>0.8</v>
      </c>
      <c r="N175">
        <v>0.8</v>
      </c>
      <c r="O175">
        <v>7074</v>
      </c>
      <c r="P175">
        <v>7074</v>
      </c>
      <c r="Q175">
        <v>125</v>
      </c>
      <c r="R175">
        <v>56.591999999999999</v>
      </c>
      <c r="S175">
        <v>2238</v>
      </c>
      <c r="T175">
        <v>2.3684845E-2</v>
      </c>
      <c r="U175">
        <v>1.9137355000000002E-2</v>
      </c>
      <c r="V175">
        <v>0.68453742200000001</v>
      </c>
      <c r="W175">
        <v>2.2320598000000001E-2</v>
      </c>
      <c r="X175">
        <v>0.203333333</v>
      </c>
      <c r="Y175">
        <v>0.40773283100000002</v>
      </c>
      <c r="Z175">
        <v>1</v>
      </c>
      <c r="AA175">
        <v>1</v>
      </c>
      <c r="AB175">
        <v>1</v>
      </c>
      <c r="AC175">
        <v>1</v>
      </c>
      <c r="AD175">
        <v>1</v>
      </c>
    </row>
  </sheetData>
  <autoFilter ref="A1:AD175" xr:uid="{81CD17C5-FB92-4794-852F-E8544A013A1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6329-A572-4C1C-BC4B-86C09D6002DF}">
  <dimension ref="A1:C6"/>
  <sheetViews>
    <sheetView workbookViewId="0">
      <selection activeCell="A7" sqref="A7"/>
    </sheetView>
  </sheetViews>
  <sheetFormatPr defaultRowHeight="15" x14ac:dyDescent="0.25"/>
  <cols>
    <col min="1" max="1" width="17.42578125" style="1" customWidth="1"/>
    <col min="2" max="2" width="27.42578125" style="1" customWidth="1"/>
    <col min="3" max="3" width="9.140625" style="1"/>
  </cols>
  <sheetData>
    <row r="1" spans="1:3" x14ac:dyDescent="0.25">
      <c r="A1" s="5" t="s">
        <v>631</v>
      </c>
      <c r="B1" s="5" t="s">
        <v>556</v>
      </c>
      <c r="C1" s="5" t="s">
        <v>555</v>
      </c>
    </row>
    <row r="2" spans="1:3" x14ac:dyDescent="0.25">
      <c r="A2" s="1" t="s">
        <v>554</v>
      </c>
      <c r="B2" s="4" t="s">
        <v>553</v>
      </c>
      <c r="C2" s="1">
        <v>30</v>
      </c>
    </row>
    <row r="3" spans="1:3" x14ac:dyDescent="0.25">
      <c r="A3" s="1" t="s">
        <v>552</v>
      </c>
      <c r="B3" s="1" t="s">
        <v>551</v>
      </c>
      <c r="C3" s="1">
        <v>36</v>
      </c>
    </row>
    <row r="4" spans="1:3" x14ac:dyDescent="0.25">
      <c r="A4" s="1" t="s">
        <v>550</v>
      </c>
      <c r="B4" s="1" t="s">
        <v>83</v>
      </c>
      <c r="C4" s="1">
        <v>3</v>
      </c>
    </row>
    <row r="5" spans="1:3" x14ac:dyDescent="0.25">
      <c r="A5" s="1" t="s">
        <v>549</v>
      </c>
      <c r="B5" s="1" t="s">
        <v>548</v>
      </c>
      <c r="C5" s="1">
        <v>105</v>
      </c>
    </row>
    <row r="6" spans="1:3" x14ac:dyDescent="0.25">
      <c r="A6" s="2"/>
      <c r="B6" s="3" t="s">
        <v>547</v>
      </c>
      <c r="C6" s="2">
        <f>SUM(C2:C5)</f>
        <v>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82A4-F624-4E7B-9079-E9697609DD4B}">
  <dimension ref="A1:C19"/>
  <sheetViews>
    <sheetView workbookViewId="0">
      <selection activeCell="B37" sqref="B37"/>
    </sheetView>
  </sheetViews>
  <sheetFormatPr defaultRowHeight="15" x14ac:dyDescent="0.25"/>
  <cols>
    <col min="1" max="1" width="20.5703125" style="1" customWidth="1"/>
    <col min="2" max="2" width="16" style="1" customWidth="1"/>
    <col min="3" max="3" width="9.140625" style="1"/>
  </cols>
  <sheetData>
    <row r="1" spans="1:3" x14ac:dyDescent="0.25">
      <c r="A1" s="5" t="s">
        <v>558</v>
      </c>
      <c r="B1" s="5" t="s">
        <v>559</v>
      </c>
      <c r="C1" s="5" t="s">
        <v>555</v>
      </c>
    </row>
    <row r="2" spans="1:3" x14ac:dyDescent="0.25">
      <c r="A2" s="1" t="s">
        <v>314</v>
      </c>
      <c r="B2" s="1" t="s">
        <v>560</v>
      </c>
      <c r="C2" s="1">
        <v>1</v>
      </c>
    </row>
    <row r="3" spans="1:3" x14ac:dyDescent="0.25">
      <c r="A3" s="1" t="s">
        <v>31</v>
      </c>
      <c r="B3" s="1" t="s">
        <v>561</v>
      </c>
      <c r="C3" s="1">
        <v>32</v>
      </c>
    </row>
    <row r="4" spans="1:3" x14ac:dyDescent="0.25">
      <c r="A4" s="1" t="s">
        <v>105</v>
      </c>
      <c r="B4" s="1" t="s">
        <v>562</v>
      </c>
      <c r="C4" s="1">
        <v>1</v>
      </c>
    </row>
    <row r="5" spans="1:3" x14ac:dyDescent="0.25">
      <c r="A5" s="1" t="s">
        <v>37</v>
      </c>
      <c r="B5" s="1" t="s">
        <v>563</v>
      </c>
      <c r="C5" s="1">
        <v>11</v>
      </c>
    </row>
    <row r="6" spans="1:3" x14ac:dyDescent="0.25">
      <c r="A6" s="1" t="s">
        <v>326</v>
      </c>
      <c r="B6" s="1" t="s">
        <v>564</v>
      </c>
      <c r="C6" s="1">
        <v>1</v>
      </c>
    </row>
    <row r="7" spans="1:3" x14ac:dyDescent="0.25">
      <c r="A7" s="1" t="s">
        <v>306</v>
      </c>
      <c r="B7" s="1" t="s">
        <v>565</v>
      </c>
      <c r="C7" s="1">
        <v>1</v>
      </c>
    </row>
    <row r="8" spans="1:3" x14ac:dyDescent="0.25">
      <c r="A8" s="1" t="s">
        <v>87</v>
      </c>
      <c r="B8" s="1" t="s">
        <v>566</v>
      </c>
      <c r="C8" s="1">
        <v>4</v>
      </c>
    </row>
    <row r="9" spans="1:3" x14ac:dyDescent="0.25">
      <c r="A9" s="1" t="s">
        <v>190</v>
      </c>
      <c r="B9" s="1" t="s">
        <v>567</v>
      </c>
      <c r="C9" s="1">
        <v>1</v>
      </c>
    </row>
    <row r="10" spans="1:3" x14ac:dyDescent="0.25">
      <c r="A10" s="1" t="s">
        <v>45</v>
      </c>
      <c r="B10" s="1" t="s">
        <v>568</v>
      </c>
      <c r="C10" s="1">
        <v>9</v>
      </c>
    </row>
    <row r="11" spans="1:3" x14ac:dyDescent="0.25">
      <c r="A11" s="1" t="s">
        <v>226</v>
      </c>
      <c r="B11" s="1" t="s">
        <v>569</v>
      </c>
      <c r="C11" s="1">
        <v>1</v>
      </c>
    </row>
    <row r="12" spans="1:3" x14ac:dyDescent="0.25">
      <c r="A12" s="1" t="s">
        <v>56</v>
      </c>
      <c r="B12" s="1" t="s">
        <v>570</v>
      </c>
      <c r="C12" s="1">
        <v>1</v>
      </c>
    </row>
    <row r="13" spans="1:3" x14ac:dyDescent="0.25">
      <c r="A13" s="1" t="s">
        <v>172</v>
      </c>
      <c r="B13" s="1" t="s">
        <v>571</v>
      </c>
      <c r="C13" s="1">
        <v>1</v>
      </c>
    </row>
    <row r="14" spans="1:3" x14ac:dyDescent="0.25">
      <c r="A14" s="1" t="s">
        <v>131</v>
      </c>
      <c r="B14" s="1" t="s">
        <v>572</v>
      </c>
      <c r="C14" s="1">
        <v>3</v>
      </c>
    </row>
    <row r="15" spans="1:3" ht="16.5" customHeight="1" x14ac:dyDescent="0.25">
      <c r="A15" s="1" t="s">
        <v>573</v>
      </c>
      <c r="B15" s="1" t="s">
        <v>574</v>
      </c>
      <c r="C15" s="1">
        <v>1</v>
      </c>
    </row>
    <row r="16" spans="1:3" x14ac:dyDescent="0.25">
      <c r="A16" s="1" t="s">
        <v>575</v>
      </c>
      <c r="B16" s="1" t="s">
        <v>576</v>
      </c>
      <c r="C16" s="1">
        <v>3</v>
      </c>
    </row>
    <row r="17" spans="1:3" x14ac:dyDescent="0.25">
      <c r="A17" s="1" t="s">
        <v>577</v>
      </c>
      <c r="B17" s="1" t="s">
        <v>578</v>
      </c>
      <c r="C17" s="1">
        <v>51</v>
      </c>
    </row>
    <row r="18" spans="1:3" x14ac:dyDescent="0.25">
      <c r="A18" s="1" t="s">
        <v>579</v>
      </c>
      <c r="B18" s="1" t="s">
        <v>580</v>
      </c>
      <c r="C18" s="1">
        <v>52</v>
      </c>
    </row>
    <row r="19" spans="1:3" x14ac:dyDescent="0.25">
      <c r="A19" s="2"/>
      <c r="B19" s="3" t="s">
        <v>547</v>
      </c>
      <c r="C19" s="2">
        <f>SUM(C2:C18)</f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92A4-8339-4080-8200-851431BDA930}">
  <dimension ref="A1:J29"/>
  <sheetViews>
    <sheetView workbookViewId="0">
      <selection activeCell="C12" sqref="C12"/>
    </sheetView>
  </sheetViews>
  <sheetFormatPr defaultRowHeight="15" x14ac:dyDescent="0.25"/>
  <cols>
    <col min="1" max="1" width="12.140625" style="1" customWidth="1"/>
    <col min="2" max="2" width="34.7109375" style="10" bestFit="1" customWidth="1"/>
    <col min="3" max="3" width="11.28515625" style="1" customWidth="1"/>
    <col min="4" max="4" width="9.85546875" style="1" customWidth="1"/>
    <col min="7" max="7" width="33" bestFit="1" customWidth="1"/>
    <col min="10" max="10" width="13.42578125" bestFit="1" customWidth="1"/>
  </cols>
  <sheetData>
    <row r="1" spans="1:10" ht="28.5" customHeight="1" x14ac:dyDescent="0.25">
      <c r="A1" s="6" t="s">
        <v>581</v>
      </c>
      <c r="B1" s="6" t="s">
        <v>582</v>
      </c>
      <c r="C1" s="6" t="s">
        <v>583</v>
      </c>
      <c r="D1" s="6" t="s">
        <v>584</v>
      </c>
    </row>
    <row r="2" spans="1:10" x14ac:dyDescent="0.25">
      <c r="A2" s="1" t="str" cm="1">
        <f t="array" ref="A2:A20">CHAR(_xlfn.SEQUENCE(19, , 65))</f>
        <v>A</v>
      </c>
      <c r="B2" s="1" t="s">
        <v>585</v>
      </c>
      <c r="C2" s="1">
        <v>0</v>
      </c>
      <c r="D2" s="1">
        <v>4</v>
      </c>
    </row>
    <row r="3" spans="1:10" x14ac:dyDescent="0.25">
      <c r="A3" s="1" t="str">
        <v>B</v>
      </c>
      <c r="B3" s="1" t="s">
        <v>586</v>
      </c>
      <c r="C3" s="1">
        <v>0</v>
      </c>
      <c r="D3" s="1">
        <v>9</v>
      </c>
    </row>
    <row r="4" spans="1:10" x14ac:dyDescent="0.25">
      <c r="A4" s="1" t="str">
        <v>C</v>
      </c>
      <c r="B4" s="1" t="s">
        <v>587</v>
      </c>
      <c r="C4" s="1">
        <v>2</v>
      </c>
      <c r="D4" s="1">
        <v>24</v>
      </c>
    </row>
    <row r="5" spans="1:10" x14ac:dyDescent="0.25">
      <c r="A5" s="1" t="str">
        <v>D</v>
      </c>
      <c r="B5" s="1" t="s">
        <v>588</v>
      </c>
      <c r="C5" s="1">
        <v>0</v>
      </c>
      <c r="D5" s="1">
        <v>24</v>
      </c>
      <c r="G5" s="7" t="s">
        <v>589</v>
      </c>
      <c r="H5" s="8" t="s">
        <v>590</v>
      </c>
    </row>
    <row r="6" spans="1:10" x14ac:dyDescent="0.25">
      <c r="A6" s="1" t="str">
        <v>E</v>
      </c>
      <c r="B6" s="1" t="s">
        <v>591</v>
      </c>
      <c r="C6" s="1">
        <v>0</v>
      </c>
      <c r="D6" s="1">
        <v>1</v>
      </c>
      <c r="G6" t="s">
        <v>592</v>
      </c>
      <c r="H6">
        <v>40</v>
      </c>
    </row>
    <row r="7" spans="1:10" x14ac:dyDescent="0.25">
      <c r="A7" s="1" t="str">
        <v>F</v>
      </c>
      <c r="B7" s="1" t="s">
        <v>593</v>
      </c>
      <c r="C7" s="1">
        <v>2</v>
      </c>
      <c r="D7" s="1">
        <v>42</v>
      </c>
      <c r="G7" t="s">
        <v>594</v>
      </c>
      <c r="H7">
        <v>114</v>
      </c>
      <c r="J7" t="s">
        <v>595</v>
      </c>
    </row>
    <row r="8" spans="1:10" x14ac:dyDescent="0.25">
      <c r="A8" s="1" t="str">
        <v>G</v>
      </c>
      <c r="B8" s="1" t="s">
        <v>596</v>
      </c>
      <c r="C8" s="1">
        <v>0</v>
      </c>
      <c r="D8" s="1">
        <v>10</v>
      </c>
      <c r="G8" t="s">
        <v>597</v>
      </c>
      <c r="H8">
        <v>20</v>
      </c>
      <c r="J8" t="s">
        <v>598</v>
      </c>
    </row>
    <row r="9" spans="1:10" x14ac:dyDescent="0.25">
      <c r="A9" s="1" t="str">
        <v>H</v>
      </c>
      <c r="B9" s="1" t="s">
        <v>599</v>
      </c>
      <c r="C9" s="1">
        <v>0</v>
      </c>
      <c r="D9" s="1">
        <v>19</v>
      </c>
      <c r="G9" s="3" t="s">
        <v>547</v>
      </c>
      <c r="H9" s="9">
        <f>SUM(H6:H8)</f>
        <v>174</v>
      </c>
    </row>
    <row r="10" spans="1:10" x14ac:dyDescent="0.25">
      <c r="A10" s="1" t="str">
        <v>I</v>
      </c>
      <c r="B10" s="1" t="s">
        <v>600</v>
      </c>
      <c r="C10" s="1">
        <v>8</v>
      </c>
      <c r="D10" s="1">
        <v>50</v>
      </c>
    </row>
    <row r="11" spans="1:10" x14ac:dyDescent="0.25">
      <c r="A11" s="1" t="str">
        <v>J</v>
      </c>
      <c r="B11" s="1" t="s">
        <v>601</v>
      </c>
      <c r="C11" s="1">
        <v>0</v>
      </c>
      <c r="D11" s="1">
        <v>1</v>
      </c>
    </row>
    <row r="12" spans="1:10" x14ac:dyDescent="0.25">
      <c r="A12" s="1" t="str">
        <v>K</v>
      </c>
      <c r="B12" s="1" t="s">
        <v>602</v>
      </c>
      <c r="C12" s="1">
        <v>14</v>
      </c>
      <c r="D12" s="1">
        <v>76</v>
      </c>
    </row>
    <row r="13" spans="1:10" x14ac:dyDescent="0.25">
      <c r="A13" s="1" t="str">
        <v>L</v>
      </c>
      <c r="B13" s="1" t="s">
        <v>603</v>
      </c>
      <c r="C13" s="1">
        <v>1</v>
      </c>
      <c r="D13" s="1">
        <v>25</v>
      </c>
    </row>
    <row r="14" spans="1:10" x14ac:dyDescent="0.25">
      <c r="A14" s="1" t="str">
        <v>M</v>
      </c>
      <c r="B14" s="1" t="s">
        <v>604</v>
      </c>
      <c r="C14" s="1">
        <v>7</v>
      </c>
      <c r="D14" s="1">
        <v>58</v>
      </c>
    </row>
    <row r="15" spans="1:10" x14ac:dyDescent="0.25">
      <c r="A15" s="1" t="str">
        <v>N</v>
      </c>
      <c r="B15" s="1" t="s">
        <v>605</v>
      </c>
      <c r="C15" s="1">
        <v>0</v>
      </c>
      <c r="D15" s="1">
        <v>1</v>
      </c>
    </row>
    <row r="16" spans="1:10" x14ac:dyDescent="0.25">
      <c r="A16" s="1" t="str">
        <v>O</v>
      </c>
      <c r="B16" s="1" t="s">
        <v>606</v>
      </c>
      <c r="C16" s="1">
        <v>5</v>
      </c>
      <c r="D16" s="1">
        <v>34</v>
      </c>
    </row>
    <row r="17" spans="1:4" x14ac:dyDescent="0.25">
      <c r="A17" s="1" t="str">
        <v>P</v>
      </c>
      <c r="B17" s="1" t="s">
        <v>607</v>
      </c>
      <c r="C17" s="1">
        <v>0</v>
      </c>
      <c r="D17" s="1">
        <v>5</v>
      </c>
    </row>
    <row r="18" spans="1:4" x14ac:dyDescent="0.25">
      <c r="A18" s="1" t="str">
        <v>Q</v>
      </c>
      <c r="B18" s="1" t="s">
        <v>608</v>
      </c>
      <c r="C18" s="1">
        <v>0</v>
      </c>
      <c r="D18" s="1">
        <v>17</v>
      </c>
    </row>
    <row r="19" spans="1:4" x14ac:dyDescent="0.25">
      <c r="A19" s="1" t="str">
        <v>R</v>
      </c>
      <c r="B19" s="1" t="s">
        <v>609</v>
      </c>
      <c r="C19" s="1">
        <v>0</v>
      </c>
      <c r="D19" s="1">
        <v>15</v>
      </c>
    </row>
    <row r="20" spans="1:4" x14ac:dyDescent="0.25">
      <c r="A20" s="1" t="str">
        <v>S</v>
      </c>
      <c r="B20" s="1" t="s">
        <v>610</v>
      </c>
      <c r="C20" s="1">
        <v>1</v>
      </c>
      <c r="D20" s="1">
        <v>19</v>
      </c>
    </row>
    <row r="21" spans="1:4" x14ac:dyDescent="0.25">
      <c r="A21" s="1" t="s">
        <v>611</v>
      </c>
      <c r="B21" s="1" t="s">
        <v>612</v>
      </c>
      <c r="C21" s="1">
        <v>0</v>
      </c>
      <c r="D21" s="1">
        <v>20</v>
      </c>
    </row>
    <row r="22" spans="1:4" x14ac:dyDescent="0.25">
      <c r="A22" s="1" t="s">
        <v>613</v>
      </c>
      <c r="B22" s="1" t="s">
        <v>614</v>
      </c>
      <c r="C22" s="1">
        <v>0</v>
      </c>
      <c r="D22" s="1">
        <v>0</v>
      </c>
    </row>
    <row r="23" spans="1:4" x14ac:dyDescent="0.25">
      <c r="A23" s="2"/>
      <c r="B23" s="3" t="s">
        <v>547</v>
      </c>
      <c r="C23" s="2">
        <f>SUM(C2:C22)</f>
        <v>40</v>
      </c>
      <c r="D23" s="2">
        <f>SUM(D2:D22)</f>
        <v>454</v>
      </c>
    </row>
    <row r="29" spans="1:4" x14ac:dyDescent="0.25">
      <c r="D2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5F9A-2B4B-4C6E-885E-8E839811C5F9}">
  <dimension ref="A1:C6"/>
  <sheetViews>
    <sheetView workbookViewId="0">
      <selection activeCell="I21" sqref="I21"/>
    </sheetView>
  </sheetViews>
  <sheetFormatPr defaultRowHeight="15" x14ac:dyDescent="0.25"/>
  <cols>
    <col min="1" max="1" width="15.140625" bestFit="1" customWidth="1"/>
    <col min="2" max="2" width="44.28515625" customWidth="1"/>
  </cols>
  <sheetData>
    <row r="1" spans="1:3" x14ac:dyDescent="0.25">
      <c r="A1" s="5" t="s">
        <v>557</v>
      </c>
      <c r="B1" s="5" t="s">
        <v>556</v>
      </c>
      <c r="C1" s="5" t="s">
        <v>555</v>
      </c>
    </row>
    <row r="2" spans="1:3" x14ac:dyDescent="0.25">
      <c r="A2" s="1" t="s">
        <v>615</v>
      </c>
      <c r="B2" s="4" t="s">
        <v>616</v>
      </c>
      <c r="C2" s="1">
        <v>108</v>
      </c>
    </row>
    <row r="3" spans="1:3" x14ac:dyDescent="0.25">
      <c r="A3" s="1" t="s">
        <v>617</v>
      </c>
      <c r="B3" s="1" t="s">
        <v>618</v>
      </c>
      <c r="C3" s="1">
        <v>66</v>
      </c>
    </row>
    <row r="4" spans="1:3" x14ac:dyDescent="0.25">
      <c r="A4" s="1" t="s">
        <v>611</v>
      </c>
      <c r="B4" s="1" t="s">
        <v>619</v>
      </c>
      <c r="C4" s="1">
        <v>0</v>
      </c>
    </row>
    <row r="5" spans="1:3" x14ac:dyDescent="0.25">
      <c r="A5" s="2"/>
      <c r="B5" s="3" t="s">
        <v>547</v>
      </c>
      <c r="C5" s="2">
        <f>SUM(C2:C4)</f>
        <v>174</v>
      </c>
    </row>
    <row r="6" spans="1:3" x14ac:dyDescent="0.25">
      <c r="A6" s="1"/>
      <c r="B6" s="1"/>
      <c r="C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F390-7D21-4B73-8663-76D16E43AC7B}">
  <dimension ref="A1:K17"/>
  <sheetViews>
    <sheetView workbookViewId="0">
      <selection activeCell="E22" sqref="E22"/>
    </sheetView>
  </sheetViews>
  <sheetFormatPr defaultRowHeight="15" x14ac:dyDescent="0.25"/>
  <cols>
    <col min="1" max="1" width="23.42578125" bestFit="1" customWidth="1"/>
    <col min="2" max="2" width="23.85546875" customWidth="1"/>
    <col min="6" max="6" width="29.140625" bestFit="1" customWidth="1"/>
    <col min="7" max="7" width="6.5703125" bestFit="1" customWidth="1"/>
    <col min="9" max="9" width="29.140625" bestFit="1" customWidth="1"/>
  </cols>
  <sheetData>
    <row r="1" spans="1:11" x14ac:dyDescent="0.25">
      <c r="A1" s="14" t="s">
        <v>620</v>
      </c>
      <c r="B1" s="14" t="s">
        <v>556</v>
      </c>
      <c r="C1" s="14" t="s">
        <v>555</v>
      </c>
      <c r="D1" s="15"/>
      <c r="E1" s="15"/>
      <c r="F1" s="14" t="s">
        <v>625</v>
      </c>
      <c r="G1" s="14" t="s">
        <v>555</v>
      </c>
      <c r="H1" s="15"/>
      <c r="K1" s="15"/>
    </row>
    <row r="2" spans="1:11" x14ac:dyDescent="0.25">
      <c r="A2" s="1" t="s">
        <v>621</v>
      </c>
      <c r="B2" s="4" t="s">
        <v>622</v>
      </c>
      <c r="C2" s="1">
        <v>44</v>
      </c>
      <c r="F2" s="4" t="s">
        <v>553</v>
      </c>
      <c r="G2" s="1">
        <v>14</v>
      </c>
    </row>
    <row r="3" spans="1:11" x14ac:dyDescent="0.25">
      <c r="A3" s="1" t="s">
        <v>624</v>
      </c>
      <c r="B3" s="13" t="s">
        <v>623</v>
      </c>
      <c r="C3" s="1">
        <v>130</v>
      </c>
      <c r="F3" s="1" t="s">
        <v>551</v>
      </c>
      <c r="G3" s="1">
        <v>12</v>
      </c>
    </row>
    <row r="4" spans="1:11" x14ac:dyDescent="0.25">
      <c r="A4" s="2"/>
      <c r="C4" s="2">
        <f>SUM(C2:C3)</f>
        <v>174</v>
      </c>
      <c r="F4" s="1" t="s">
        <v>83</v>
      </c>
      <c r="G4" s="1">
        <v>0</v>
      </c>
    </row>
    <row r="5" spans="1:11" x14ac:dyDescent="0.25">
      <c r="A5" s="1"/>
      <c r="B5" s="1"/>
      <c r="C5" s="1"/>
      <c r="F5" s="1" t="s">
        <v>548</v>
      </c>
      <c r="G5" s="1">
        <v>18</v>
      </c>
    </row>
    <row r="6" spans="1:11" x14ac:dyDescent="0.25">
      <c r="F6" s="3" t="s">
        <v>547</v>
      </c>
      <c r="G6" s="2">
        <f>SUM(G2:G5)</f>
        <v>44</v>
      </c>
    </row>
    <row r="8" spans="1:11" x14ac:dyDescent="0.25">
      <c r="F8" s="14" t="s">
        <v>626</v>
      </c>
      <c r="G8" s="16" t="s">
        <v>555</v>
      </c>
    </row>
    <row r="9" spans="1:11" x14ac:dyDescent="0.25">
      <c r="F9" s="1" t="s">
        <v>627</v>
      </c>
      <c r="G9" s="1">
        <v>29</v>
      </c>
    </row>
    <row r="10" spans="1:11" x14ac:dyDescent="0.25">
      <c r="F10" s="13" t="s">
        <v>628</v>
      </c>
      <c r="G10" s="13">
        <v>15</v>
      </c>
    </row>
    <row r="11" spans="1:11" x14ac:dyDescent="0.25">
      <c r="F11" s="3" t="s">
        <v>547</v>
      </c>
      <c r="G11" s="2">
        <f>SUM(G9:G10)</f>
        <v>44</v>
      </c>
    </row>
    <row r="13" spans="1:11" x14ac:dyDescent="0.25">
      <c r="F13" s="14" t="s">
        <v>630</v>
      </c>
      <c r="G13" s="14" t="s">
        <v>555</v>
      </c>
    </row>
    <row r="14" spans="1:11" x14ac:dyDescent="0.25">
      <c r="F14" s="1" t="s">
        <v>31</v>
      </c>
      <c r="G14" s="1">
        <v>13</v>
      </c>
      <c r="K14" t="s">
        <v>629</v>
      </c>
    </row>
    <row r="15" spans="1:11" x14ac:dyDescent="0.25">
      <c r="F15" s="1" t="s">
        <v>37</v>
      </c>
      <c r="G15" s="1">
        <v>4</v>
      </c>
    </row>
    <row r="16" spans="1:11" x14ac:dyDescent="0.25">
      <c r="F16" s="1" t="s">
        <v>87</v>
      </c>
      <c r="G16" s="1">
        <v>4</v>
      </c>
    </row>
    <row r="17" spans="6:7" x14ac:dyDescent="0.25">
      <c r="F17" s="1" t="s">
        <v>45</v>
      </c>
      <c r="G17" s="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actor_master_dataset_CARI</vt:lpstr>
      <vt:lpstr>Actor Type Code</vt:lpstr>
      <vt:lpstr>Country Affiliation Code</vt:lpstr>
      <vt:lpstr>Targeted Sector Code</vt:lpstr>
      <vt:lpstr>KEV Status</vt:lpstr>
      <vt:lpstr>Risk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 Ruppar</dc:creator>
  <cp:lastModifiedBy>Carrie Ruppar</cp:lastModifiedBy>
  <dcterms:created xsi:type="dcterms:W3CDTF">2026-07-12T16:57:39Z</dcterms:created>
  <dcterms:modified xsi:type="dcterms:W3CDTF">2026-07-12T20:16:00Z</dcterms:modified>
</cp:coreProperties>
</file>